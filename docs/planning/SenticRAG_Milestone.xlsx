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 Page" sheetId="1" r:id="rId1"/>
    <sheet name="Milestones" sheetId="2" r:id="rId2"/>
    <sheet name="Milestone Details" sheetId="3" r:id="rId3"/>
    <sheet name="WBS" sheetId="4" r:id="rId4"/>
    <sheet name="Task Details" sheetId="5" r:id="rId5"/>
    <sheet name="Capacity" sheetId="6" r:id="rId6"/>
    <sheet name="Module Catalog" sheetId="7" r:id="rId7"/>
    <sheet name="IO Contracts" sheetId="8" r:id="rId8"/>
    <sheet name="Proposal Traceability" sheetId="9" r:id="rId9"/>
    <sheet name="Acceptance Gates" sheetId="10" r:id="rId10"/>
    <sheet name="Data Plan" sheetId="11" r:id="rId11"/>
    <sheet name="Tech Stack" sheetId="12" r:id="rId12"/>
    <sheet name="Decisions" sheetId="13" r:id="rId13"/>
    <sheet name="Extensions" sheetId="14" r:id="rId14"/>
    <sheet name="Source Register" sheetId="15" r:id="rId15"/>
    <sheet name="Notes" sheetId="16" r:id="rId16"/>
  </sheets>
  <definedNames>
    <definedName name="_xlnm._FilterDatabase" localSheetId="9" hidden="1">'Acceptance Gates'!$A$4:$J$31</definedName>
    <definedName name="_xlnm._FilterDatabase" localSheetId="5" hidden="1">Capacity!$A$4:$J$18</definedName>
    <definedName name="_xlnm._FilterDatabase" localSheetId="0" hidden="1">'Cover Page'!$A$4:$G$13</definedName>
    <definedName name="_xlnm._FilterDatabase" localSheetId="10" hidden="1">'Data Plan'!$A$4:$I$16</definedName>
    <definedName name="_xlnm._FilterDatabase" localSheetId="12" hidden="1">Decisions!$A$4:$G$18</definedName>
    <definedName name="_xlnm._FilterDatabase" localSheetId="13" hidden="1">Extensions!$A$4:$H$12</definedName>
    <definedName name="_xlnm._FilterDatabase" localSheetId="7" hidden="1">'IO Contracts'!$A$4:$L$19</definedName>
    <definedName name="_xlnm._FilterDatabase" localSheetId="2" hidden="1">'Milestone Details'!$A$4:$O$13</definedName>
    <definedName name="_xlnm._FilterDatabase" localSheetId="6" hidden="1">'Module Catalog'!$A$4:$L$16</definedName>
    <definedName name="_xlnm._FilterDatabase" localSheetId="15" hidden="1">Notes!$A$4:$C$22</definedName>
    <definedName name="_xlnm._FilterDatabase" localSheetId="8" hidden="1">'Proposal Traceability'!$A$4:$J$94</definedName>
    <definedName name="_xlnm._FilterDatabase" localSheetId="14" hidden="1">'Source Register'!$A$4:$H$30</definedName>
    <definedName name="_xlnm._FilterDatabase" localSheetId="4" hidden="1">'Task Details'!$A$4:$U$79</definedName>
    <definedName name="_xlnm._FilterDatabase" localSheetId="11" hidden="1">'Tech Stack'!$A$4:$G$20</definedName>
    <definedName name="_xlnm.Print_Area" localSheetId="0">'Cover Page'!$A$1:$G$31</definedName>
    <definedName name="_xlnm.Print_Titles" localSheetId="9">'Acceptance Gates'!$4:$4</definedName>
    <definedName name="_xlnm.Print_Titles" localSheetId="5">Capacity!$4:$4</definedName>
    <definedName name="_xlnm.Print_Titles" localSheetId="10">'Data Plan'!$4:$4</definedName>
    <definedName name="_xlnm.Print_Titles" localSheetId="12">Decisions!$4:$4</definedName>
    <definedName name="_xlnm.Print_Titles" localSheetId="13">Extensions!$4:$4</definedName>
    <definedName name="_xlnm.Print_Titles" localSheetId="7">'IO Contracts'!$4:$4</definedName>
    <definedName name="_xlnm.Print_Titles" localSheetId="2">'Milestone Details'!$4:$4</definedName>
    <definedName name="_xlnm.Print_Titles" localSheetId="1">Milestones!$8:$10</definedName>
    <definedName name="_xlnm.Print_Titles" localSheetId="6">'Module Catalog'!$4:$4</definedName>
    <definedName name="_xlnm.Print_Titles" localSheetId="15">Notes!$4:$4</definedName>
    <definedName name="_xlnm.Print_Titles" localSheetId="8">'Proposal Traceability'!$4:$4</definedName>
    <definedName name="_xlnm.Print_Titles" localSheetId="14">'Source Register'!$4:$4</definedName>
    <definedName name="_xlnm.Print_Titles" localSheetId="4">'Task Details'!$4:$4</definedName>
    <definedName name="_xlnm.Print_Titles" localSheetId="11">'Tech Stack'!$4:$4</definedName>
    <definedName name="_xlnm.Print_Titles" localSheetId="3">WBS!$8:$10</definedName>
  </definedNames>
  <calcPr calcId="124519" fullCalcOnLoad="1"/>
</workbook>
</file>

<file path=xl/sharedStrings.xml><?xml version="1.0" encoding="utf-8"?>
<sst xmlns="http://schemas.openxmlformats.org/spreadsheetml/2006/main" count="5067" uniqueCount="2369">
  <si>
    <t>SENTICRAG</t>
  </si>
  <si>
    <t>Kế hoạch 14 tuần — 1 người</t>
  </si>
  <si>
    <t>Bắt đầu</t>
  </si>
  <si>
    <t>Bàn giao</t>
  </si>
  <si>
    <t>Chatbot trước • 75 dòng công việc • đầy đủ input/output, module và công nghệ</t>
  </si>
  <si>
    <t>Mốc</t>
  </si>
  <si>
    <t>Giai đoạn</t>
  </si>
  <si>
    <t>Kết thúc</t>
  </si>
  <si>
    <t>Kết quả cần bàn giao</t>
  </si>
  <si>
    <t>Tuần</t>
  </si>
  <si>
    <t>Gate</t>
  </si>
  <si>
    <t>M0</t>
  </si>
  <si>
    <t>Thiết kế chatbot và khóa phạm vi</t>
  </si>
  <si>
    <t>Thiết kế chatbot, contract v1, wireframe, backlog, quyết định kỹ thuật và bộ kịch bản nghiệm thu.</t>
  </si>
  <si>
    <t>W1–W1</t>
  </si>
  <si>
    <t>G0</t>
  </si>
  <si>
    <t>M1</t>
  </si>
  <si>
    <t>Chuẩn hóa dữ liệu chính sách cho chatbot</t>
  </si>
  <si>
    <t>PolicyDocument/PolicyChunk đã duyệt; catalog nguồn; ingest report; policy-QA và privacy fixtures.</t>
  </si>
  <si>
    <t>W2–W2</t>
  </si>
  <si>
    <t>G1</t>
  </si>
  <si>
    <t>M2</t>
  </si>
  <si>
    <t>Chatbot RAG đầu tiên chạy xuyên suốt</t>
  </si>
  <si>
    <t>Chat UI + API + history + retrieval + grounded generation; Docker demo; báo cáo benchmark ban đầu.</t>
  </si>
  <si>
    <t>W3–W4</t>
  </si>
  <si>
    <t>G2</t>
  </si>
  <si>
    <t>M3</t>
  </si>
  <si>
    <t>Chatbot theo đơn hàng và Copilot CSKH</t>
  </si>
  <si>
    <t>Policy engine + customer tools + FSM + Agent Workspace; ticket/action/outcome và phản hồi được lưu.</t>
  </si>
  <si>
    <t>W5–W6</t>
  </si>
  <si>
    <t>G3</t>
  </si>
  <si>
    <t>M4</t>
  </si>
  <si>
    <t>ABSA và ingestion toàn corpus</t>
  </si>
  <si>
    <t>Baseline + candidate ABSA, report, model card; predictions có version; async worker + router; triage tự động.</t>
  </si>
  <si>
    <t>W7–W8</t>
  </si>
  <si>
    <t>G4</t>
  </si>
  <si>
    <t>M5</t>
  </si>
  <si>
    <t>Dashboard toàn corpus và điều tra bằng evidence</t>
  </si>
  <si>
    <t>Analyst/PM dashboard, population/denominator, anomaly alert, drill-down giữ nguyên filters, benchmark review retrieval.</t>
  </si>
  <si>
    <t>W9–W9</t>
  </si>
  <si>
    <t>G5</t>
  </si>
  <si>
    <t>M6</t>
  </si>
  <si>
    <t>GraphRAG và quản trị tri thức</t>
  </si>
  <si>
    <t>Ontology v1 + Neo4j + graph traversal; analyst/steward UI; knowledge publish/rollback; chatbot có evidence graph.</t>
  </si>
  <si>
    <t>W10–W11</t>
  </si>
  <si>
    <t>G6</t>
  </si>
  <si>
    <t>M7</t>
  </si>
  <si>
    <t>Closed-loop feedback và cải thiện mô hình</t>
  </si>
  <si>
    <t>Versioned annotation datasets; active-learning queue; một retraining/eval cycle; drift monitors và publish decision.</t>
  </si>
  <si>
    <t>W12–W12</t>
  </si>
  <si>
    <t>G7</t>
  </si>
  <si>
    <t>M8</t>
  </si>
  <si>
    <t>Tích hợp, vận hành và bàn giao</t>
  </si>
  <si>
    <t>Release bundle, 5 UAT demos, eval suite, deploy/IaC package, runbooks, rollback evidence và coverage ledger.</t>
  </si>
  <si>
    <t>W13–W14</t>
  </si>
  <si>
    <t>G8</t>
  </si>
  <si>
    <t>Mở các sheet chi tiết bên dưới:</t>
  </si>
  <si>
    <t>Milestones</t>
  </si>
  <si>
    <t>Milestone Details</t>
  </si>
  <si>
    <t>WBS</t>
  </si>
  <si>
    <t>Task Details</t>
  </si>
  <si>
    <t>Capacity</t>
  </si>
  <si>
    <t>Module Catalog</t>
  </si>
  <si>
    <t>IO Contracts</t>
  </si>
  <si>
    <t>Proposal Traceability</t>
  </si>
  <si>
    <t>Acceptance Gates</t>
  </si>
  <si>
    <t>Data Plan</t>
  </si>
  <si>
    <t>Tech Stack</t>
  </si>
  <si>
    <t>Decisions</t>
  </si>
  <si>
    <t>Extensions</t>
  </si>
  <si>
    <t>Source Register</t>
  </si>
  <si>
    <t>Notes</t>
  </si>
  <si>
    <t>Mục tiêu: chatbot RAG đầu tiên chạy được cuối tuần 4 — 20/11/2026.</t>
  </si>
  <si>
    <t>60 ngày công + 9 ngày dự phòng + 1 ngày nghỉ dự kiến 01/01. Các công việc xếp nối tiếp cho một người.</t>
  </si>
  <si>
    <t>Xem Task Details để đọc input, các bước làm, output, công nghệ và điều kiện hoàn thành từng task.</t>
  </si>
  <si>
    <t>Chỉnh Task Status tại WBS, cột J. Những sheet khác lấy trạng thái từ WBS.</t>
  </si>
  <si>
    <t>Kế hoạch chưa phải kết quả đã triển khai; các target chất lượng, cloud và KPI kinh doanh cần bằng chứng nghiệm thu.</t>
  </si>
  <si>
    <t>MILESTONES | các giai đoạn và gate bàn giao</t>
  </si>
  <si>
    <t>1 người • 26/10/2026–31/01/2027 • 14 tuần • ngày T2–T6; 01/01 dành cho nghỉ dự kiến • màu biểu thị trạng thái kế hoạch</t>
  </si>
  <si>
    <t>← Cover Page</t>
  </si>
  <si>
    <t>Người thực hiện: Trần Đình Khương | mọi vai trò kỹ thuật đều do cùng một người đảm nhiệm.</t>
  </si>
  <si>
    <t>Not Started / In Progress / Done / Blocked / Deferred / Contingency</t>
  </si>
  <si>
    <t>Lịch và effort tính theo 0,5 ngày; xem Task Details để biết buổi bắt đầu và dependency.</t>
  </si>
  <si>
    <t>Task</t>
  </si>
  <si>
    <t>Start date</t>
  </si>
  <si>
    <t>End date</t>
  </si>
  <si>
    <t>Responsibility</t>
  </si>
  <si>
    <t>Deliverable</t>
  </si>
  <si>
    <t>Task Status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</si>
  <si>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</si>
  <si>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</si>
  <si>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</si>
  <si>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</si>
  <si>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</si>
  <si>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</si>
  <si>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</si>
  <si>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</si>
  <si>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</si>
  <si>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</si>
  <si>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</si>
  <si>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</si>
  <si>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</si>
  <si>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</si>
  <si>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T2</t>
  </si>
  <si>
    <t>T3</t>
  </si>
  <si>
    <t>T4</t>
  </si>
  <si>
    <t>T5</t>
  </si>
  <si>
    <t>T6</t>
  </si>
  <si>
    <t>T7</t>
  </si>
  <si>
    <t>CN</t>
  </si>
  <si>
    <t>Trần Đình Khương</t>
  </si>
  <si>
    <t>•</t>
  </si>
  <si>
    <t>M0.G</t>
  </si>
  <si>
    <t>G0 — Review, nghiệm thu và báo cáo giai đoạn</t>
  </si>
  <si>
    <t>docs/reports/milestones/m0-review.md; checklist; demo; manifest phiên bản
0.5 ngày • PM • sau M0.4</t>
  </si>
  <si>
    <t>◆</t>
  </si>
  <si>
    <t>M1.G</t>
  </si>
  <si>
    <t>G1 — Review, nghiệm thu và báo cáo giai đoạn</t>
  </si>
  <si>
    <t>docs/reports/milestones/m1-review.md; checklist; demo; manifest phiên bản
0.5 ngày • PM • sau M1.4</t>
  </si>
  <si>
    <t>M2.G</t>
  </si>
  <si>
    <t>G2 — Review, nghiệm thu và báo cáo giai đoạn</t>
  </si>
  <si>
    <t>docs/reports/milestones/m2-review.md; checklist; demo; manifest phiên bản
0.5 ngày • PM • sau M2.8</t>
  </si>
  <si>
    <t>M3.G</t>
  </si>
  <si>
    <t>G3 — Review, nghiệm thu và báo cáo giai đoạn</t>
  </si>
  <si>
    <t>docs/reports/milestones/m3-review.md; checklist; demo; manifest phiên bản
0.5 ngày • PM • sau M3.8</t>
  </si>
  <si>
    <t>M4.G</t>
  </si>
  <si>
    <t>G4 — Review, nghiệm thu và báo cáo giai đoạn</t>
  </si>
  <si>
    <t>docs/reports/milestones/m4-review.md; checklist; demo; manifest phiên bản
0.5 ngày • PM • sau M4.7</t>
  </si>
  <si>
    <t>M5.G</t>
  </si>
  <si>
    <t>G5 — Review, nghiệm thu và báo cáo giai đoạn</t>
  </si>
  <si>
    <t>docs/reports/milestones/m5-review.md; checklist; demo; manifest phiên bản
0.5 ngày • PM • sau M5.4</t>
  </si>
  <si>
    <t>M6.G</t>
  </si>
  <si>
    <t>G6 — Review, nghiệm thu và báo cáo giai đoạn</t>
  </si>
  <si>
    <t>docs/reports/milestones/m6-review.md; checklist; demo; manifest phiên bản
0.5 ngày • PM • sau M6.9</t>
  </si>
  <si>
    <t>M7.G</t>
  </si>
  <si>
    <t>G7 — Review, nghiệm thu và báo cáo giai đoạn</t>
  </si>
  <si>
    <t>docs/reports/milestones/m7-review.md; checklist; demo; manifest phiên bản
0.5 ngày • PM • sau M7.5</t>
  </si>
  <si>
    <t>M8.G</t>
  </si>
  <si>
    <t>G8 — Review, nghiệm thu và báo cáo giai đoạn</t>
  </si>
  <si>
    <t>docs/reports/milestones/m8-review.md; checklist; demo; manifest phiên bản
0.5 ngày • PM • sau M8.8</t>
  </si>
  <si>
    <t>MILESTONE DETAILS | input, output và cách hoàn thành</t>
  </si>
  <si>
    <t>Mọi giai đoạn triển khai nối tiếp bởi một người. Entry gate không đạt thì các việc phụ thuộc phải dừng/sửa hoặc rebaseline.</t>
  </si>
  <si>
    <t>ID</t>
  </si>
  <si>
    <t>Mục tiêu</t>
  </si>
  <si>
    <t>Entry criteria / phụ thuộc</t>
  </si>
  <si>
    <t>Input</t>
  </si>
  <si>
    <t>Output / bàn giao</t>
  </si>
  <si>
    <t>Modules</t>
  </si>
  <si>
    <t>Công nghệ</t>
  </si>
  <si>
    <t>Demo / cách nghiệm thu</t>
  </si>
  <si>
    <t>User story coverage</t>
  </si>
  <si>
    <t>Ngày công</t>
  </si>
  <si>
    <t>Chốt kiến trúc hội thoại trước, hợp đồng dùng chung và tiêu chí 14 tuần cho một người.</t>
  </si>
  <si>
    <t>START; 1 người, 5 ngày làm việc/tuần; kiểm kê API key, máy/GPU, cloud và quyền dữ liệu.</t>
  </si>
  <si>
    <t>Architecture, 5 user stories, mã khung hiện tại, dữ liệu crawl và mẫu Excel.</t>
  </si>
  <si>
    <t>MOD-01, MOD-03, MOD-04, MOD-12</t>
  </si>
  <si>
    <t>FastAPI/Pydantic; PostgreSQL; React/TypeScript (đề xuất); Docker Compose</t>
  </si>
  <si>
    <t>Walkthrough 3 lượt: hỏi chính sách → hỏi tiếp → thiếu bằng chứng/chuyển người xử lý.</t>
  </si>
  <si>
    <t>US-BUY-01 nền tảng; thiết kế đủ US-AGENT/ANALYST/PM/STEWARD</t>
  </si>
  <si>
    <t>4 core + 1 reserve</t>
  </si>
  <si>
    <t>Biến dữ liệu crawl thành knowledge base được kiểm duyệt và truy nguồn.</t>
  </si>
  <si>
    <t>G0 PASS; tài liệu có quyền sử dụng; chốt phạm vi demo 5–10 policy (~30 điều khoản).</t>
  </si>
  <si>
    <t>Raw HTML/text/page.json/report từ Data_crawling; tài liệu do người dùng cung cấp.</t>
  </si>
  <si>
    <t>MOD-02, MOD-06, MOD-12</t>
  </si>
  <si>
    <t>Python parser; Pydantic; PostgreSQL; JSONL; regex + NER</t>
  </si>
  <si>
    <t>Từ URL gốc → nội dung sạch → đoạn trích chứa đủ điều kiện/ngoại lệ.</t>
  </si>
  <si>
    <t>US-BUY-01 / US-AGENT-01 nguồn chính sách; US-STEWARD-01 duyệt tài liệu</t>
  </si>
  <si>
    <t>Bàn giao chatbot tiếng Việt có hội thoại, evidence và fallback trên dữ liệu thật đã làm sạch.</t>
  </si>
  <si>
    <t>G1 PASS; API key/provider hoặc mô hình local chạy được; máy đủ embedding corpus nhỏ.</t>
  </si>
  <si>
    <t>Policy chunks approved, contracts/chat wireframe, golden sets, provider cấu hình được.</t>
  </si>
  <si>
    <t>FastAPI; React/TypeScript; PostgreSQL; Redis; Qdrant; BM25/RRF; LLM API; BGE candidate</t>
  </si>
  <si>
    <t>Hỏi đổi trả → hỏi tiếp ngoại lệ → hiện nguồn; câu không đủ evidence → clarification/handoff.</t>
  </si>
  <si>
    <t>US-BUY-01 mức policy Q&amp;A; US-AGENT-01 evidence nền tảng; chưa đủ full story</t>
  </si>
  <si>
    <t>9 core + 1 reserve</t>
  </si>
  <si>
    <t>Thêm quyết định chính sách có kiểm soát, chuyển người xử lý và lưu outcome.</t>
  </si>
  <si>
    <t>G2 PASS; data demo được đánh dấu synthetic; quyền CRM thật chỉ cần khi chọn live adapter.</t>
  </si>
  <si>
    <t>Chatbot G2; policy clauses; seed products/orders/customers; resolution scenarios.</t>
  </si>
  <si>
    <t>MOD-01, MOD-03, MOD-05, MOD-06, MOD-11, MOD-12</t>
  </si>
  <si>
    <t>PostgreSQL; deterministic rules; FastAPI; MCP adapters; React; bounded FSM</t>
  </si>
  <si>
    <t>Đơn còn hạn → draft có điều kiện; hết hạn/không sở hữu đơn → không hứa quyền lợi; agent sửa/duyệt/escalate.</t>
  </si>
  <si>
    <t>US-BUY-01 resolution path; US-AGENT-01 workspace/outcomes; ABSA tự động bổ sung M4</t>
  </si>
  <si>
    <t>Tạo dữ liệu sentiment/aspect thật để triage và thống kê toàn bộ corpus.</t>
  </si>
  <si>
    <t>G3 PASS; chốt dataset/license/splits tại M0; compute đã sẵn hoặc candidate không chạy ghi BLOCKED.</t>
  </si>
  <si>
    <t>Review/ticket/chat đã mask; UIT-ViSFD/ViSD4SA được phép sử dụng; taxonomy; corrections.</t>
  </si>
  <si>
    <t>MOD-02, MOD-07, MOD-12</t>
  </si>
  <si>
    <t>scikit-learn; PyTorch/Transformers/PhoBERT candidate; PostgreSQL; Redis Streams</t>
  </si>
  <si>
    <t>“Máy đẹp nhưng pin yếu” → hai aspect/polarity; toàn corpus được xử lý, ticket card có triage thật.</t>
  </si>
  <si>
    <t>Hoàn thiện BUY-AC-01; US-AGENT-01 triage; nền US-ANALYST-01/US-PM-01</t>
  </si>
  <si>
    <t>Nối thống kê toàn bộ dữ liệu với truy xuất các trường hợp đại diện.</t>
  </si>
  <si>
    <t>G4 PASS hoặc demo hạn chế được ghi rõ; model/index snapshot đồng nhất.</t>
  </si>
  <si>
    <t>Versioned ABSA predictions, review metadata, ticket outcomes, retrieval service.</t>
  </si>
  <si>
    <t>MOD-04, MOD-09, MOD-10</t>
  </si>
  <si>
    <t>PostgreSQL aggregates; React charts; Qdrant; RRF/reranker; scheduled worker</t>
  </si>
  <si>
    <t>Click spike pin theo firmware → xem 5–10 cases cùng cohort; không dùng Top-K làm tỷ lệ toàn corpus.</t>
  </si>
  <si>
    <t>US-ANALYST-01 quant→qual; US-PM-01 trend/outcome; graph enrichment ở M6</t>
  </si>
  <si>
    <t>Liên kết issue/version/cause/policy/resolution, đưa kết luận đã duyệt trở lại chatbot.</t>
  </si>
  <si>
    <t>G5 PASS; ontology canonical thống nhất giữa blueprint và schema rút gọn.</t>
  </si>
  <si>
    <t>Evidence cohorts, taxonomy, product versions, policy registry, confirmed synthetic known issues.</t>
  </si>
  <si>
    <t>MOD-04, MOD-06, MOD-08, MOD-10, MOD-11</t>
  </si>
  <si>
    <t>Neo4j; Cypher; Python driver; PostgreSQL approval log; React</t>
  </si>
  <si>
    <t>Spike → analyst hypothesis → steward approve → publish → ticket mới nhận draft dựa trên cause confirmed.</t>
  </si>
  <si>
    <t>Hoàn thiện US-ANALYST-01, US-STEWARD-01; graph context cho US-BUY/AGENT/PM</t>
  </si>
  <si>
    <t>Đưa chỉnh sửa đã duyệt vào dữ liệu đánh giá/huấn luyện và đo chất lượng qua phiên bản.</t>
  </si>
  <si>
    <t>G6 PASS; có correction fixtures và giới hạn training budget; test set vẫn locked.</t>
  </si>
  <si>
    <t>Agent edits, ABSA corrections, retrieval judgments, outcome events, stewardship logs.</t>
  </si>
  <si>
    <t>MOD-07, MOD-09, MOD-11, MOD-12</t>
  </si>
  <si>
    <t>PostgreSQL; Python export/retrain; existing model pipeline; OpenTelemetry/Prometheus</t>
  </si>
  <si>
    <t>Sửa nhãn → review → export dataset v2 → train candidate → regression → giữ/publish có lý do.</t>
  </si>
  <si>
    <t>US-AGENT-01 feedback; AN-AC-06; US-STEWARD-01 governed learning; US-PM-01 effectiveness</t>
  </si>
  <si>
    <t>Chứng minh phạm vi demo 5 user stories; chuẩn bị release tái lập và ghi trung thực khoảng cách production.</t>
  </si>
  <si>
    <t>G7 PASS; live cloud cần account/budget/approval và reviewer; thiếu thì cloud gate BLOCKED, local demo vẫn báo riêng.</t>
  </si>
  <si>
    <t>G0–G7 evidence; candidate app/model/index/graph/policy; frozen eval; resource access.</t>
  </si>
  <si>
    <t>MOD-01..MOD-12</t>
  </si>
  <si>
    <t>Docker; GitHub Actions; Helm/Terraform/EKS target; OTel/Prometheus; pytest; load harness</t>
  </si>
  <si>
    <t>Tái dựng từ manifest; chạy 5 persona; ngắt dependency; rollback app/model/knowledge; xem báo cáo thật.</t>
  </si>
  <si>
    <t>Tất cả stories ở phạm vi demo; production/business KPI là gate riêng không tự nhận đã đạt</t>
  </si>
  <si>
    <t>8 core + 2 reserve</t>
  </si>
  <si>
    <t>WORK BREAKDOWN STRUCTURE | lịch từng công việc</t>
  </si>
  <si>
    <t>M0.1</t>
  </si>
  <si>
    <t>Audit repo và lập danh mục yêu cầu</t>
  </si>
  <si>
    <t>Baseline inventory; Source Register; traceability IDs; danh sách mâu thuẫn
0.5 ngày • AM • sau START</t>
  </si>
  <si>
    <t>Not Started</t>
  </si>
  <si>
    <t>M0.2</t>
  </si>
  <si>
    <t>Thiết kế UX chatbot, phạm vi và luồng hội thoại</t>
  </si>
  <si>
    <t>Wireframe + conversation flow + scope MVP chatbot tuần 4
1 ngày • PM • sau M0.1</t>
  </si>
  <si>
    <t>M0.3</t>
  </si>
  <si>
    <t>Khóa contract, dữ liệu, công nghệ và API</t>
  </si>
  <si>
    <t>ADR + schema/chat examples; OpenAPI dự kiến; bảng module; capability/provider matrix
1 ngày • PM • sau M0.2</t>
  </si>
  <si>
    <t>M0.4</t>
  </si>
  <si>
    <t>Thiết lập nền phát triển và thiết kế nghiệm thu</t>
  </si>
  <si>
    <t>Khung ứng dụng có smoke; test plan và rubric; baseline measurement protocol
1 ngày • PM • sau M0.3</t>
  </si>
  <si>
    <t>M0.B</t>
  </si>
  <si>
    <t>Dự phòng sửa lỗi, tích hợp hoặc nghỉ theo lịch thực tế</t>
  </si>
  <si>
    <t>Gate được kiểm tra lại; nhật ký sử dụng dự phòng và lịch cập nhật
Reserve</t>
  </si>
  <si>
    <t>Contingency</t>
  </si>
  <si>
    <t>M1.1</t>
  </si>
  <si>
    <t>Kiểm kê và tiếp nhận snapshot crawler</t>
  </si>
  <si>
    <t>source_inventory.csv; raw manifest có URL, hash, crawl time, status
0.5 ngày • AM • sau M0.G</t>
  </si>
  <si>
    <t>M1.2</t>
  </si>
  <si>
    <t>Làm sạch, chia đoạn và gắn provenance</t>
  </si>
  <si>
    <t>policies_clean.jsonl; policy_chunks.jsonl; cleaning QA report
1 ngày • PM • sau M1.1</t>
  </si>
  <si>
    <t>M1.3</t>
  </si>
  <si>
    <t>Policy catalog, trạng thái duyệt và PII boundary</t>
  </si>
  <si>
    <t>Registry migrations; policy versions; masking service; fixture assertions
1 ngày • PM • sau M1.2</t>
  </si>
  <si>
    <t>M1.4</t>
  </si>
  <si>
    <t>Tạo bộ đánh giá chatbot và privacy ban đầu</t>
  </si>
  <si>
    <t>golden_policy_queries.jsonl; chat_eval.jsonl; pii_eval.jsonl + manifests
1 ngày • PM • sau M1.3</t>
  </si>
  <si>
    <t>M1.B</t>
  </si>
  <si>
    <t>M2.1</t>
  </si>
  <si>
    <t>Lập chỉ mục và retrieval có bộ lọc</t>
  </si>
  <si>
    <t>Index build pipeline; retrieval service; source resolver; index manifest
1.5 ngày • AM • sau M1.G</t>
  </si>
  <si>
    <t>M2.2</t>
  </si>
  <si>
    <t>Benchmark BM25, dense và hybrid RRF</t>
  </si>
  <si>
    <t>retrieval_policy_baseline.json + report + selected config
1 ngày • PM • sau M2.1</t>
  </si>
  <si>
    <t>M2.3</t>
  </si>
  <si>
    <t>Đánh giá reranker trên tập nhỏ</t>
  </si>
  <si>
    <t>Reranker adapter; enable/disable ADR và giới hạn tài nguyên
0.5 ngày • PM • sau M2.2</t>
  </si>
  <si>
    <t>M2.4</t>
  </si>
  <si>
    <t>Sinh câu trả lời có nguồn và kiểm soát đầu ra</t>
  </si>
  <si>
    <t>LLM service + guardrails + Answer contract
1 ngày • AM • sau M2.3</t>
  </si>
  <si>
    <t>M2.5</t>
  </si>
  <si>
    <t>API chat, phiên và bộ nhớ nhiều lượt</t>
  </si>
  <si>
    <t>Conversation service; migrations; session/history endpoints; auth integration
1.5 ngày • AM • sau M2.4</t>
  </si>
  <si>
    <t>M2.6</t>
  </si>
  <si>
    <t>Giao diện chatbot và nguồn tham khảo</t>
  </si>
  <si>
    <t>apps/chatbot chạy với backend thật; UI smoke scripts
1.5 ngày • PM • sau M2.5</t>
  </si>
  <si>
    <t>M2.7</t>
  </si>
  <si>
    <t>Telemetry, đóng gói demo và xử lý dependency fail</t>
  </si>
  <si>
    <t>Compose demo; logs/traces; run instructions
0.5 ngày • AM • sau M2.6</t>
  </si>
  <si>
    <t>M2.8</t>
  </si>
  <si>
    <t>Đánh giá chatbot end-to-end và sửa lỗi</t>
  </si>
  <si>
    <t>chatbot_mvp_eval report; demo recording; regression suite
1 ngày • PM • sau M2.7</t>
  </si>
  <si>
    <t>M2.B</t>
  </si>
  <si>
    <t>M3.1</t>
  </si>
  <si>
    <t>Mô hình đơn hàng, ticket, action và outcome</t>
  </si>
  <si>
    <t>Relational seed + schema + ticket lifecycle endpoints
1 ngày • AM • sau M2.G</t>
  </si>
  <si>
    <t>M3.2</t>
  </si>
  <si>
    <t>Tra cứu đơn hàng có xác thực và kiểm soát truy cập</t>
  </si>
  <si>
    <t>Customer context service + tool schemas + seed CRM adapter
1 ngày • AM • sau M3.1</t>
  </si>
  <si>
    <t>M3.3</t>
  </si>
  <si>
    <t>Policy engine xác định quyền lợi bằng rule</t>
  </si>
  <si>
    <t>PolicyDecision service; rule tests; evidence-linked decision log
1 ngày • AM • sau M3.2</t>
  </si>
  <si>
    <t>M3.4</t>
  </si>
  <si>
    <t>FSM resolution, MCP tools và reflection hữu hạn</t>
  </si>
  <si>
    <t>Resolution orchestrator; /api/v1/resolution/draft nối thật; tool integration tests
1.5 ngày • AM • sau M3.3</t>
  </si>
  <si>
    <t>M3.5</t>
  </si>
  <si>
    <t>Agent Workspace: context, evidence và review</t>
  </si>
  <si>
    <t>Agent Workspace + review endpoints; browser flows
1.5 ngày • PM • sau M3.4</t>
  </si>
  <si>
    <t>M3.6</t>
  </si>
  <si>
    <t>Lưu phản hồi cuối, outcome và business events</t>
  </si>
  <si>
    <t>Outcome API; audit events; metric dictionary và baseline captures
1 ngày • AM • sau M3.5</t>
  </si>
  <si>
    <t>M3.7</t>
  </si>
  <si>
    <t>Đánh giá resolution và luồng hỗ trợ</t>
  </si>
  <si>
    <t>Resolution eval v1; UAT agent/buyer; baseline report
1 ngày • AM • sau M3.6</t>
  </si>
  <si>
    <t>M3.8</t>
  </si>
  <si>
    <t>Cô lập công cụ và lỗi thực thi</t>
  </si>
  <si>
    <t>Task isolation config; timeout/retry audit; microVM decision
0.5 ngày • AM • sau M3.7</t>
  </si>
  <si>
    <t>M3.B</t>
  </si>
  <si>
    <t>M4.1</t>
  </si>
  <si>
    <t>Khóa taxonomy, splits và dataset provenance</t>
  </si>
  <si>
    <t>aspect_taxonomy_v1.yaml; train/dev/test parquet + data card/manifests
1 ngày • AM • sau M3.G</t>
  </si>
  <si>
    <t>M4.2</t>
  </si>
  <si>
    <t>ABSA baseline và evaluation harness</t>
  </si>
  <si>
    <t>Baseline model; inference; eval scripts; confusion matrices
1 ngày • AM • sau M4.1</t>
  </si>
  <si>
    <t>M4.3</t>
  </si>
  <si>
    <t>Huấn luyện candidate và evidence spans</t>
  </si>
  <si>
    <t>Candidate checkpoint; logs; calibration; span extraction report; model card
2 ngày • AM • sau M4.2</t>
  </si>
  <si>
    <t>M4.4</t>
  </si>
  <si>
    <t>Chốt model bằng benchmark và release floor</t>
  </si>
  <si>
    <t>ABSA comparison report; champion config; release decision
1 ngày • AM • sau M4.3</t>
  </si>
  <si>
    <t>M4.5</t>
  </si>
  <si>
    <t>Ingestion, queue và batch phủ toàn corpus</t>
  </si>
  <si>
    <t>Pipeline A; workers; absa_predictions; feedback_reviews index; coverage report
1.5 ngày • AM • sau M4.4</t>
  </si>
  <si>
    <t>M4.6</t>
  </si>
  <si>
    <t>Semantic router, rate limit và triage API</t>
  </si>
  <si>
    <t>Router dataset/card; router service; rate limiter; /api/v1/absa/predict
1 ngày • PM • sau M4.5</t>
  </si>
  <si>
    <t>M4.7</t>
  </si>
  <si>
    <t>Tích hợp triage thật vào chatbot và workspace</t>
  </si>
  <si>
    <t>Ticket triage v1; correction endpoint; buyer/agent regression
1 ngày • PM • sau M4.6</t>
  </si>
  <si>
    <t>M4.B</t>
  </si>
  <si>
    <t>M5.1</t>
  </si>
  <si>
    <t>Metrics SQL, lineage và cảnh báo</t>
  </si>
  <si>
    <t>Aggregate APIs; metric lineage; scheduled anomaly jobs
1 ngày • AM • sau M4.G</t>
  </si>
  <si>
    <t>M5.2</t>
  </si>
  <si>
    <t>Dashboard Analyst/PM và business outcomes</t>
  </si>
  <si>
    <t>apps/analyst_dashboard với bộ lọc và outcome view
1 ngày • AM • sau M5.1</t>
  </si>
  <si>
    <t>M5.3</t>
  </si>
  <si>
    <t>Drill-down có cohort, diversity và benchmark</t>
  </si>
  <si>
    <t>Investigation API/UI; evidence pack; review retrieval report; tổng 80 golden queries
1 ngày • AM • sau M5.2</t>
  </si>
  <si>
    <t>M5.4</t>
  </si>
  <si>
    <t>Kiểm nghiệm dashboard và cảnh báo</t>
  </si>
  <si>
    <t>Analytics/drill-down test report; anomaly evaluation
0.5 ngày • AM • sau M5.3</t>
  </si>
  <si>
    <t>M5.B</t>
  </si>
  <si>
    <t>M6.1</t>
  </si>
  <si>
    <t>Thống nhất ontology, IDs và lifecycle</t>
  </si>
  <si>
    <t>Ontology v1 + migration mapping + lifecycle transition rules
1 ngày • AM • sau M5.G</t>
  </si>
  <si>
    <t>M6.2</t>
  </si>
  <si>
    <t>Seed và đồng bộ graph có provenance</t>
  </si>
  <si>
    <t>neo4j_ontology_seed.json; graph_sync; graph contracts
1 ngày • AM • sau M6.1</t>
  </si>
  <si>
    <t>M6.3</t>
  </si>
  <si>
    <t>Local GraphRAG và vector→entity→graph</t>
  </si>
  <si>
    <t>Graph retriever + GraphContext contract + query tests
1 ngày • AM • sau M6.2</t>
  </si>
  <si>
    <t>M6.4</t>
  </si>
  <si>
    <t>Nối graph vào resolution và chatbot</t>
  </si>
  <si>
    <t>Resolution v2 có graph citations và verified status
1 ngày • AM • sau M6.3</t>
  </si>
  <si>
    <t>M6.5</t>
  </si>
  <si>
    <t>Analyst investigation và issue lifecycle UI</t>
  </si>
  <si>
    <t>Graph explorer tối giản; analyst annotation + PM issue detail
1 ngày • AM • sau M6.4</t>
  </si>
  <si>
    <t>M6.6</t>
  </si>
  <si>
    <t>Steward review, policy retirement và publish</t>
  </si>
  <si>
    <t>Steward workflow + knowledge versions + approval records
1 ngày • AM • sau M6.5</t>
  </si>
  <si>
    <t>M6.7</t>
  </si>
  <si>
    <t>Staleness, version propagation và rollback</t>
  </si>
  <si>
    <t>Knowledge publication pipeline; version rollback drill
1 ngày • AM • sau M6.6</t>
  </si>
  <si>
    <t>M6.8</t>
  </si>
  <si>
    <t>Nghiệm thu vòng analyst→knowledge→chatbot</t>
  </si>
  <si>
    <t>Graph E2E recording; graph/resolution eval v2; source-linked reports
1 ngày • AM • sau M6.7</t>
  </si>
  <si>
    <t>M6.9</t>
  </si>
  <si>
    <t>Đánh giá và ghi quyết định GraphRAG nâng cao</t>
  </si>
  <si>
    <t>Extension ADR; roadmap sau tuần 14; scope ledger
0.5 ngày • AM • sau M6.8</t>
  </si>
  <si>
    <t>M6.B</t>
  </si>
  <si>
    <t>Nghỉ dự kiến 01/01/2027 (trích quỹ dự phòng)</t>
  </si>
  <si>
    <t>N</t>
  </si>
  <si>
    <t>M7.1</t>
  </si>
  <si>
    <t>Chuẩn hóa toàn bộ feedback và export</t>
  </si>
  <si>
    <t>Annotation store; approved training/eval exports; judgments dataset
1 ngày • AM • sau M6.G</t>
  </si>
  <si>
    <t>M7.2</t>
  </si>
  <si>
    <t>Một vòng active learning và model promotion</t>
  </si>
  <si>
    <t>Active-learning report; candidate model; promotion/rollback manifest
1 ngày • AM • sau M7.1</t>
  </si>
  <si>
    <t>M7.3</t>
  </si>
  <si>
    <t>Drift, quality và feedback monitoring</t>
  </si>
  <si>
    <t>Quality/drift dashboard và alert config
0.5 ngày • AM • sau M7.2</t>
  </si>
  <si>
    <t>M7.4</t>
  </si>
  <si>
    <t>Retention, correction và deletion propagation</t>
  </si>
  <si>
    <t>Deletion/correction workflow + lineage test
0.5 ngày • PM • sau M7.3</t>
  </si>
  <si>
    <t>M7.5</t>
  </si>
  <si>
    <t>Regression learning loop và outcome efficacy</t>
  </si>
  <si>
    <t>Closed-loop E2E report; outcome linkage checks
0.5 ngày • AM • sau M7.4</t>
  </si>
  <si>
    <t>M7.B</t>
  </si>
  <si>
    <t>M8.1</t>
  </si>
  <si>
    <t>CI, AI gates và artifact release bất biến</t>
  </si>
  <si>
    <t>Release workflow + run-manifest + reproducibility scripts
1 ngày • AM • sau M7.G</t>
  </si>
  <si>
    <t>M8.2</t>
  </si>
  <si>
    <t>Hạ tầng và phân quyền deployment mục tiêu</t>
  </si>
  <si>
    <t>IaC/chart package; IAM matrix; rendered manifests; cloud cost/prerequisite record
1 ngày • AM • sau M8.1</t>
  </si>
  <si>
    <t>M8.3</t>
  </si>
  <si>
    <t>Deploy demo và health/observability thật</t>
  </si>
  <si>
    <t>Runnable environment; deploy smoke evidence; production-target status
1 ngày • AM • sau M8.2</t>
  </si>
  <si>
    <t>M8.4</t>
  </si>
  <si>
    <t>Load, failure, latency và sizing</t>
  </si>
  <si>
    <t>Load/failure report + measured resource envelope + tuned config
1 ngày • AM • sau M8.3</t>
  </si>
  <si>
    <t>M8.5</t>
  </si>
  <si>
    <t>Privacy/access, backup và rollback drill</t>
  </si>
  <si>
    <t>Security regression; restore/rollback timings; runbooks
1 ngày • AM • sau M8.4</t>
  </si>
  <si>
    <t>M8.6</t>
  </si>
  <si>
    <t>UAT 5 vai trò và full regression</t>
  </si>
  <si>
    <t>UAT matrix; recordings; final evaluation tables; coverage status
1 ngày • AM • sau M8.5</t>
  </si>
  <si>
    <t>M8.7</t>
  </si>
  <si>
    <t>Business KPI đối chiếu baseline</t>
  </si>
  <si>
    <t>Business KPI report; measurement limitations; post-demo pilot plan
0.5 ngày • AM • sau M8.6</t>
  </si>
  <si>
    <t>M8.8</t>
  </si>
  <si>
    <t>Tài liệu bàn giao và bộ demo tái lập</t>
  </si>
  <si>
    <t>Final report; release archive; handover checklist; demo guide
1 ngày • PM • sau M8.7</t>
  </si>
  <si>
    <t>M8.B</t>
  </si>
  <si>
    <t>TASK DETAILS | kế hoạch thực hiện và tiêu chí hoàn thành</t>
  </si>
  <si>
    <t>Input/Output là contract/deliverable dự kiến. Evidence hiện chưa có; chỉ cập nhật Done khi đạt gate và lưu bằng chứng. Effort 0,5 ngày = 4 giờ theo giả định.</t>
  </si>
  <si>
    <t>Task ID</t>
  </si>
  <si>
    <t>Milestone</t>
  </si>
  <si>
    <t>Công việc</t>
  </si>
  <si>
    <t>Buổi đầu</t>
  </si>
  <si>
    <t>Người thực hiện</t>
  </si>
  <si>
    <t>Vai trò đang đảm nhiệm</t>
  </si>
  <si>
    <t>Các bước thực hiện</t>
  </si>
  <si>
    <t>Output / artifact</t>
  </si>
  <si>
    <t>Dependency</t>
  </si>
  <si>
    <t>I/O contract</t>
  </si>
  <si>
    <t>Definition of Done</t>
  </si>
  <si>
    <t>Nguồn yêu cầu</t>
  </si>
  <si>
    <t>Scope/type</t>
  </si>
  <si>
    <t>Task Status (từ WBS)</t>
  </si>
  <si>
    <t>Evidence thực tế</t>
  </si>
  <si>
    <t>AM</t>
  </si>
  <si>
    <t>BA / kiến trúc</t>
  </si>
  <si>
    <t>Toàn bộ tài liệu hiện hữu và commit 9083135</t>
  </si>
  <si>
    <t>Phân biệt mock với chức năng thật; kiểm kê crawler, schemas, CI, API; lập ma trận yêu cầu và ghi các doc tham chiếu bị thiếu.</t>
  </si>
  <si>
    <t>Baseline inventory; Source Register; traceability IDs; danh sách mâu thuẫn</t>
  </si>
  <si>
    <t>MOD-12</t>
  </si>
  <si>
    <t>Git; Markdown; Python</t>
  </si>
  <si>
    <t>START</t>
  </si>
  <si>
    <t>Không dùng số trả cứng trong API làm baseline; mỗi yêu cầu có nguồn và giai đoạn.</t>
  </si>
  <si>
    <t>SRC-01..SRC-10; SRC-16</t>
  </si>
  <si>
    <t>Core</t>
  </si>
  <si>
    <t>Chưa có — điền đường dẫn báo cáo/commit/demo sau khi thực hiện</t>
  </si>
  <si>
    <t>PM</t>
  </si>
  <si>
    <t>Product / UX</t>
  </si>
  <si>
    <t>US-BUY-01, US-AGENT-01, chính sách mẫu</t>
  </si>
  <si>
    <t>Vẽ màn hình chat, citations, history, lỗi và chuyển CSKH; mô tả intent, câu hỏi nối tiếp, thông tin thiếu; tách hỏi chính sách khỏi quyết định theo đơn hàng.</t>
  </si>
  <si>
    <t>Wireframe + conversation flow + scope MVP chatbot tuần 4</t>
  </si>
  <si>
    <t>MOD-01, MOD-03</t>
  </si>
  <si>
    <t>React/TypeScript; design document</t>
  </si>
  <si>
    <t>IO-01, IO-02</t>
  </si>
  <si>
    <t>MVP trả lời có nguồn và nhớ ngữ cảnh; eligibility cá nhân thuộc M3, root cause xác nhận thuộc M6.</t>
  </si>
  <si>
    <t>SRC-02 §3,5,7.9; SRC-03; SRC-04</t>
  </si>
  <si>
    <t>Backend / kiến trúc</t>
  </si>
  <si>
    <t>M0.1–M0.2; schemas hiện tại; Decisions</t>
  </si>
  <si>
    <t>Chọn LLM/embedding qua smoke tiếng Việt, ngân sách và khả năng truy cập; giữ API /api/v1; thiết kế ChatRequest không bắt buộc product_id; chốt namespace, ID, policy version, memory, timeout và cấu hình.</t>
  </si>
  <si>
    <t>ADR + schema/chat examples; OpenAPI dự kiến; bảng module; capability/provider matrix</t>
  </si>
  <si>
    <t>MOD-01, MOD-02, MOD-03, MOD-04, MOD-12</t>
  </si>
  <si>
    <t>Python 3.11/3.12; Poetry lock; FastAPI; Pydantic; PostgreSQL; Redis; Qdrant</t>
  </si>
  <si>
    <t>IO-01..IO-05</t>
  </si>
  <si>
    <t>Có chính sách session ownership, context limit, không đưa raw PII ra LLM; cloud/GPU thiếu phải ghi tác động.</t>
  </si>
  <si>
    <t>SRC-02 §5,8,9; SRC-06; SRC-07; SRC-16</t>
  </si>
  <si>
    <t>Full-stack / QA</t>
  </si>
  <si>
    <t>ADR, wireframe, 5 stories và fixture nhỏ</t>
  </si>
  <si>
    <t>Tạo cấu trúc conversation/chat app, migration/schema ban đầu, cấu hình môi trường, test scaffold; ghi rubric eval, business baseline và phiên bản artifacts; chuẩn bị login/session boundary.</t>
  </si>
  <si>
    <t>Khung ứng dụng có smoke; test plan và rubric; baseline measurement protocol</t>
  </si>
  <si>
    <t>MOD-01, MOD-03, MOD-12</t>
  </si>
  <si>
    <t>FastAPI; PostgreSQL migrations; React/TypeScript; pytest; Docker Compose; GitHub Actions</t>
  </si>
  <si>
    <t>IO-01, IO-15</t>
  </si>
  <si>
    <t>Health thật phản ánh dependency; cấu hình không chứa secret; có kế hoạch 5 kịch bản E2E và negative paths.</t>
  </si>
  <si>
    <t>SRC-02 §15–17,21; SRC-04; SRC-16</t>
  </si>
  <si>
    <t>QA / quản lý dự án</t>
  </si>
  <si>
    <t>Các đầu ra và test/eval của M0</t>
  </si>
  <si>
    <t>Chạy lại kịch bản nghiệm thu; đối chiếu yêu cầu; ghi PASS/FAIL/BLOCKED, số đo thực và kế hoạch sửa. Tự kiểm tra theo checklist; stakeholder xác nhận nếu có.</t>
  </si>
  <si>
    <t>docs/reports/milestones/m0-review.md; checklist; demo; manifest phiên bản</t>
  </si>
  <si>
    <t>pytest; eval reports; Git</t>
  </si>
  <si>
    <t>G0: thiết kế chatbot, I/O, scope và ngưỡng eval có owner; quyết định chưa chốt được ghi rõ; 1 người/14 tuần khả thi ở phạm vi demo.</t>
  </si>
  <si>
    <t>SRC-02 §21; SRC-03; SRC-04</t>
  </si>
  <si>
    <t>Dự phòng</t>
  </si>
  <si>
    <t>Blocker/failed gate hoặc ngày nghỉ đã xác nhận</t>
  </si>
  <si>
    <t>Ưu tiên sửa gate của giai đoạn; nếu chưa dùng thì giữ quỹ dự phòng. Không tự bổ sung tính năng.</t>
  </si>
  <si>
    <t>Gate được kiểm tra lại; nhật ký sử dụng dự phòng và lịch cập nhật</t>
  </si>
  <si>
    <t>Issue log; regression tests</t>
  </si>
  <si>
    <t>RESERVE — không phải quan hệ finish-to-start</t>
  </si>
  <si>
    <t>Không vượt ngày kết thúc giai đoạn; nếu vượt phải rebaseline, không đánh dấu Done khi gate fail.</t>
  </si>
  <si>
    <t>DEC-01; DEC-02</t>
  </si>
  <si>
    <t>Buffer</t>
  </si>
  <si>
    <t>Data engineering</t>
  </si>
  <si>
    <t>Các snapshot và báo cáo crawl đã có</t>
  </si>
  <si>
    <t>Đọc export qua adapter/file manifest; xác minh 52/56 là số ghi nhận lịch sử; chọn subset policy; kiểm tra lỗi/redirect/quyền sử dụng; giữ crawler độc lập.</t>
  </si>
  <si>
    <t>source_inventory.csv; raw manifest có URL, hash, crawl time, status</t>
  </si>
  <si>
    <t>MOD-02</t>
  </si>
  <si>
    <t>Python; JSON; SHA-256</t>
  </si>
  <si>
    <t>IO-03</t>
  </si>
  <si>
    <t>Không coi crawl thành công là đủ nội dung; không crawl lại toàn bộ nếu snapshot dùng được.</t>
  </si>
  <si>
    <t>SRC-10; SRC-11; SRC-12; SRC-13</t>
  </si>
  <si>
    <t>Raw HTML/text + inventory</t>
  </si>
  <si>
    <t>Bỏ navigation/footer; giữ heading, bảng, điều kiện/ngoại lệ; dedup; chunk theo điều khoản; xử lý missing/empty; lưu raw offset và hash ổn định.</t>
  </si>
  <si>
    <t>policies_clean.jsonl; policy_chunks.jsonl; cleaning QA report</t>
  </si>
  <si>
    <t>Python HTML parser; Pydantic; JSONL</t>
  </si>
  <si>
    <t>IO-03, IO-04</t>
  </si>
  <si>
    <t>Mỗi đoạn resolve được nguồn; kiểm tra thủ công toàn bộ ~30 điều khoản demo; chạy lại không nhân đôi.</t>
  </si>
  <si>
    <t>SRC-06 §4–5,8; SRC-10</t>
  </si>
  <si>
    <t>Backend / Data</t>
  </si>
  <si>
    <t>Policy chunks; draft registry; synthetic PII</t>
  </si>
  <si>
    <t>Lưu version/effective dates/scope/status; ngày không biết giữ unknown để duyệt; che PII text/logs; chỉ đưa policy approved vào index; tách dữ liệu đơn hàng.</t>
  </si>
  <si>
    <t>Registry migrations; policy versions; masking service; fixture assertions</t>
  </si>
  <si>
    <t>PostgreSQL; Pydantic; regex + NER; pytest</t>
  </si>
  <si>
    <t>IO-04, IO-07</t>
  </si>
  <si>
    <t>Draft/expired/unknown-effectivity không dùng để kết luận quyền lợi; không raw PII trong index/prompt/log fixtures.</t>
  </si>
  <si>
    <t>SRC-02 §7.2,7.8,14; SRC-06 §2,5</t>
  </si>
  <si>
    <t>QA / Data</t>
  </si>
  <si>
    <t>~30 clauses đã duyệt; rubric M0.4</t>
  </si>
  <si>
    <t>Soạn 40 policy questions có relevance labels và expected sources; tách tuning/held-out theo intent/document; 20 hội thoại nhiều lượt; sinh 500 PII fixtures rồi kiểm mẫu thủ công; thêm expired/conflict/no-evidence/injection.</t>
  </si>
  <si>
    <t>golden_policy_queries.jsonl; chat_eval.jsonl; pii_eval.jsonl + manifests</t>
  </si>
  <si>
    <t>MOD-02, MOD-12</t>
  </si>
  <si>
    <t>JSONL; Python; pytest; annotation rubric</t>
  </si>
  <si>
    <t>IO-14</t>
  </si>
  <si>
    <t>Có no-answer và follow-up; test set không dùng tune prompt; synthetic PII được ghi đúng nguồn và giới hạn.</t>
  </si>
  <si>
    <t>SRC-06 §2,4,6; SRC-07 §ABSA/Retrieval eval</t>
  </si>
  <si>
    <t>Các đầu ra và test/eval của M1</t>
  </si>
  <si>
    <t>docs/reports/milestones/m1-review.md; checklist; demo; manifest phiên bản</t>
  </si>
  <si>
    <t>G1: 5–10 policies/~30 clauses đã duyệt, truy nguồn đầy đủ; 40 queries + 20 hội thoại; privacy fixtures; ingestion idempotent.</t>
  </si>
  <si>
    <t>SRC-06; SRC-10; SRC-04</t>
  </si>
  <si>
    <t>Backend / ML</t>
  </si>
  <si>
    <t>Policy chunks và index contract</t>
  </si>
  <si>
    <t>Tạo namespace policies, dense + BM25 baseline, metadata indexes; enforce approved/effective/tenant filters; build snapshot và readiness; citations trả clause ID + URL.</t>
  </si>
  <si>
    <t>Index build pipeline; retrieval service; source resolver; index manifest</t>
  </si>
  <si>
    <t>MOD-04</t>
  </si>
  <si>
    <t>Qdrant; sentence-transformers; BM25; Python</t>
  </si>
  <si>
    <t>IO-04, IO-05</t>
  </si>
  <si>
    <t>Count/hash đối chiếu; empty/index unavailable có trạng thái rõ; nguồn thật, bộ lọc đúng trên fixtures.</t>
  </si>
  <si>
    <t>SRC-02 §7.5; SRC-06 §4; SRC-07 Retrieval</t>
  </si>
  <si>
    <t>ML / QA</t>
  </si>
  <si>
    <t>Policy query tuning + held-out; index snapshots</t>
  </si>
  <si>
    <t>Đánh giá riêng ba mode cùng corpus/query; tune chỉ trên dev; đo Recall@5/@10, MRR, nDCG, p95, memory và cost; chốt mode theo kết quả.</t>
  </si>
  <si>
    <t>retrieval_policy_baseline.json + report + selected config</t>
  </si>
  <si>
    <t>rank-bm25; Qdrant; RRF; Python eval</t>
  </si>
  <si>
    <t>Không mặc định hybrid thắng; giữ per-query outputs và manifest; số liệu chưa đạt phải ghi FAIL.</t>
  </si>
  <si>
    <t>SRC-02 §13.2; SRC-07 Retrieval; WEB-02</t>
  </si>
  <si>
    <t>ML</t>
  </si>
  <si>
    <t>Candidates và benchmark M2.2</t>
  </si>
  <si>
    <t>Thử BGE cross-encoder Top-50 → Top-5/10; so chất lượng/latency theo rubric đã khóa; giữ feature flag nếu chưa có gain.</t>
  </si>
  <si>
    <t>Reranker adapter; enable/disable ADR và giới hạn tài nguyên</t>
  </si>
  <si>
    <t>BGE cross-encoder candidate; sentence-transformers</t>
  </si>
  <si>
    <t>IO-05</t>
  </si>
  <si>
    <t>Chỉ bật runtime nếu held-out gain và latency budget đạt; score không được gọi là xác suất đúng.</t>
  </si>
  <si>
    <t>SRC-02 §7.5; SRC-07 RET-AC-08</t>
  </si>
  <si>
    <t>Backend / LLM</t>
  </si>
  <si>
    <t>EvidencePack; model config; chat eval</t>
  </si>
  <si>
    <t>Viết client có timeout/retry hữu hạn; prompt tiếng Việt theo evidence; schema output; kiểm citation tồn tại/đúng clause và claims; abstain hoặc hỏi thêm; ghi prompt/model version.</t>
  </si>
  <si>
    <t>LLM service + guardrails + Answer contract</t>
  </si>
  <si>
    <t>MOD-03</t>
  </si>
  <si>
    <t>LLM API cấu hình; HTTP client; Pydantic; pytest</t>
  </si>
  <si>
    <t>IO-02, IO-05</t>
  </si>
  <si>
    <t>Không bịa policy/refund; không có nguồn thì không khẳng định; schema invalid không trả nội dung chưa kiểm.</t>
  </si>
  <si>
    <t>SRC-02 §7.9; SRC-04; SRC-06 §6</t>
  </si>
  <si>
    <t>Backend</t>
  </si>
  <si>
    <t>ChatRequest/Response, generation service, PostgreSQL</t>
  </si>
  <si>
    <t>POST /api/v1/chat/messages; lưu message/request_id/idempotency; ownership; sliding context và summary; rewrite follow-up từ lịch sử; hủy/timeout; chỉ truy lịch sử được phép.</t>
  </si>
  <si>
    <t>Conversation service; migrations; session/history endpoints; auth integration</t>
  </si>
  <si>
    <t>MOD-01</t>
  </si>
  <si>
    <t>FastAPI; PostgreSQL; Redis cache; Pydantic</t>
  </si>
  <si>
    <t>Hai phiên không lẫn dữ liệu; retry không nhân đôi message; follow-up giữ policy context; không bắt nhập product cho câu hỏi chung.</t>
  </si>
  <si>
    <t>SRC-02 §5.4,7.9; SRC-16</t>
  </si>
  <si>
    <t>Frontend</t>
  </si>
  <si>
    <t>Wireframe; chat/history API</t>
  </si>
  <si>
    <t>Tạo màn chat, lịch sử, nguồn clickable, error/retry, loading, clarification và nút chuyển hỗ trợ; nối API thật; kiểm desktop/mobile và accessibility cơ bản.</t>
  </si>
  <si>
    <t>apps/chatbot chạy với backend thật; UI smoke scripts</t>
  </si>
  <si>
    <t>React; TypeScript; CSS; browser tests</t>
  </si>
  <si>
    <t>Cả happy path và thiếu bằng chứng hoạt động; trạng thái chờ không tạo nội dung giả; nguồn mở đúng clause/doc.</t>
  </si>
  <si>
    <t>SRC-03 US-BUY-01; SRC-02 §3.1; WEB-04</t>
  </si>
  <si>
    <t>Platform</t>
  </si>
  <si>
    <t>Chat app + retrieval + generation</t>
  </si>
  <si>
    <t>Trace request→retrieval→LLM; đếm token/cost/latency; log đã redacted; Compose startup và readiness thật; thử Qdrant/LLM timeout.</t>
  </si>
  <si>
    <t>Compose demo; logs/traces; run instructions</t>
  </si>
  <si>
    <t>Docker Compose; OpenTelemetry; structured logging</t>
  </si>
  <si>
    <t>IO-15</t>
  </si>
  <si>
    <t>Có source/model/index/prompt version; không success giả khi dependency hỏng.</t>
  </si>
  <si>
    <t>SRC-02 §15–16; SRC-07 NFR</t>
  </si>
  <si>
    <t>QA</t>
  </si>
  <si>
    <t>40 policy queries; 20 dialogues; privacy/attack cases</t>
  </si>
  <si>
    <t>Chạy suite frozen; review answer/citation; kiểm response ownership, injection, expired policy, no-answer và request duplicate; ghi latency thực và hạn chế.</t>
  </si>
  <si>
    <t>chatbot_mvp_eval report; demo recording; regression suite</t>
  </si>
  <si>
    <t>pytest; browser tests; human rubric</t>
  </si>
  <si>
    <t>MVP: ≥90% policy QA rubric pass (đề xuất); citation completeness ≥95%; 0 unsupported promises/PII leaks trên suite; full response &lt;60s trên kịch bản chuẩn.</t>
  </si>
  <si>
    <t>SRC-04; SRC-02 §9,13; SRC-06 §6</t>
  </si>
  <si>
    <t>Các đầu ra và test/eval của M2</t>
  </si>
  <si>
    <t>docs/reports/milestones/m2-review.md; checklist; demo; manifest phiên bản</t>
  </si>
  <si>
    <t>G2: chatbot UI→API→retrieval→LLM→citations chạy thật; multi-turn/fallback/privacy pass; benchmark riêng retrieval và generation.</t>
  </si>
  <si>
    <t>SRC-03 US-BUY-01; SRC-04; SRC-02 §21</t>
  </si>
  <si>
    <t>Seed specs + contracts M0</t>
  </si>
  <si>
    <t>Migration customer/order/product/version/ticket/action/outcome; seed 5–10 sản phẩm, ~15 phiên bản, 200 orders; mọi dữ liệu demo có synthetic flag; thiết kế idempotency và timestamps.</t>
  </si>
  <si>
    <t>Relational seed + schema + ticket lifecycle endpoints</t>
  </si>
  <si>
    <t>MOD-05, MOD-06</t>
  </si>
  <si>
    <t>PostgreSQL; Pydantic; migrations</t>
  </si>
  <si>
    <t>IO-06, IO-09</t>
  </si>
  <si>
    <t>Bridge keys nhất quán; FK hợp lệ; không giả lập 200 khách thật; lịch sử ticket không overwrite.</t>
  </si>
  <si>
    <t>SRC-02 §8; SRC-06 §5,8</t>
  </si>
  <si>
    <t>Orders + auth/session</t>
  </si>
  <si>
    <t>Implement query_customer_order và context adapter; kiểm order ownership trước đọc; chỉ expose trường cần; tìm region/service center; hỏi lại khi thiếu hoặc không khớp.</t>
  </si>
  <si>
    <t>Customer context service + tool schemas + seed CRM adapter</t>
  </si>
  <si>
    <t>MOD-05</t>
  </si>
  <si>
    <t>FastAPI; PostgreSQL; typed tools; RBAC</t>
  </si>
  <si>
    <t>IO-06</t>
  </si>
  <si>
    <t>Cross-customer access bị chặn; trạng thái unknown tách ineligible; raw PII không vào prompt/index/log.</t>
  </si>
  <si>
    <t>SRC-02 §3.1,7.2,14; SRC-06 §5</t>
  </si>
  <si>
    <t>Approved policy rules; order context</t>
  </si>
  <si>
    <t>Match product/date/scope/version; evaluate eligibility; trả missing_fields, allowed/prohibited_actions; xử lý policy conflict/stale; trường hợp tiền/ngoại lệ cần người duyệt.</t>
  </si>
  <si>
    <t>PolicyDecision service; rule tests; evidence-linked decision log</t>
  </si>
  <si>
    <t>MOD-06</t>
  </si>
  <si>
    <t>Python decision rules; PostgreSQL; Pydantic</t>
  </si>
  <si>
    <t>IO-07</t>
  </si>
  <si>
    <t>Không dùng LLM quyết eligibility; ranh ngày mua/expiry đúng; policy ví dụ 365 ngày chỉ dùng synthetic fixture.</t>
  </si>
  <si>
    <t>SRC-02 §7.8; SRC-06 §5–6</t>
  </si>
  <si>
    <t>Backend / orchestration</t>
  </si>
  <si>
    <t>Chat, policy decision, tools, ticket model</t>
  </si>
  <si>
    <t>Ingested→context→evidence→decision→draft→guarded→approved/escalated; giới hạn 1 lượt bổ sung evidence và timeout; MCP adapter query order/check warranty/route ticket; Pydantic inputs, allowlist, audit.</t>
  </si>
  <si>
    <t>Resolution orchestrator; /api/v1/resolution/draft nối thật; tool integration tests</t>
  </si>
  <si>
    <t>MOD-01, MOD-03, MOD-05, MOD-06</t>
  </si>
  <si>
    <t>Python FSM; MCP SDK/adapter; FastAPI; Pydantic</t>
  </si>
  <si>
    <t>IO-08</t>
  </si>
  <si>
    <t>Retry không lặp action; lỗi/thiếu evidence chuyển đúng hàng đợi; không tự xác nhận root cause; action cần approval không chạy trước duyệt.</t>
  </si>
  <si>
    <t>SRC-02 §7.9; SRC-05 L2,L5,L6</t>
  </si>
  <si>
    <t>Ticket/draft/citation APIs</t>
  </si>
  <si>
    <t>Ticket list/card: order, warranty, urgency, evidence/policy dates; approve/edit/reject với reason; specialist escalation; ABSA tạm hiển thị pending/manual; hypothesis label rõ.</t>
  </si>
  <si>
    <t>Agent Workspace + review endpoints; browser flows</t>
  </si>
  <si>
    <t>MOD-11</t>
  </si>
  <si>
    <t>React; TypeScript; FastAPI; PostgreSQL</t>
  </si>
  <si>
    <t>IO-08, IO-09, IO-13</t>
  </si>
  <si>
    <t>Agent đọc được bằng chứng trước duyệt; chỉnh sửa có tác giả/thời gian; không hiển thị hypothesis thành fact.</t>
  </si>
  <si>
    <t>SRC-02 §3.2; SRC-14</t>
  </si>
  <si>
    <t>Backend / Analytics</t>
  </si>
  <si>
    <t>Agent action + customer outcome</t>
  </si>
  <si>
    <t>Persist final response, sent/resolved/reopened/CSAT events và ticket owner; thu thập timestamps phục vụ FRT/AHT/MTTR/FCR; mapping complaint→ingest event cho ABSA về sau.</t>
  </si>
  <si>
    <t>Outcome API; audit events; metric dictionary và baseline captures</t>
  </si>
  <si>
    <t>MOD-06, MOD-09, MOD-11</t>
  </si>
  <si>
    <t>PostgreSQL; Pydantic; event log</t>
  </si>
  <si>
    <t>IO-09, IO-15</t>
  </si>
  <si>
    <t>Một action idempotent chỉ ghi một lần; outcome thiếu hiển thị unknown; log phiên bản policy/model/evidence/human reviewer.</t>
  </si>
  <si>
    <t>SRC-02 §3.1–3.4,8,13.5; SRC-04</t>
  </si>
  <si>
    <t>30 resolution cases giai đoạn đầu; order/privacy fixtures</t>
  </si>
  <si>
    <t>Test trong hạn/hết hạn/missing order/unconfirmed issue/prompt injection; approve/edit/reject/escalate; đo manual-vs-assisted cùng kịch bản; review chính sách và citation.</t>
  </si>
  <si>
    <t>Resolution eval v1; UAT agent/buyer; baseline report</t>
  </si>
  <si>
    <t>MOD-03, MOD-05, MOD-06, MOD-11</t>
  </si>
  <si>
    <t>pytest; browser tests; JSONL rubric</t>
  </si>
  <si>
    <t>0 unsupported actions trên suite; 100% policy claim có clause/version; safety issue vào priority queue; chưa tuyên bố AHT giảm 40% từ dữ liệu demo.</t>
  </si>
  <si>
    <t>SRC-06 §6; SRC-02 BUY-AC/AG-AC; SRC-03</t>
  </si>
  <si>
    <t>Platform / Security</t>
  </si>
  <si>
    <t>Tool adapters và action allowlist</t>
  </si>
  <si>
    <t>Thiết lập process/task timeout, restricted tool inputs, quyền tối thiểu; công cụ mô phỏng external action ghi rõ sandbox; đánh giá nhu cầu microVM như extension.</t>
  </si>
  <si>
    <t>Task isolation config; timeout/retry audit; microVM decision</t>
  </si>
  <si>
    <t>MOD-06, MOD-12</t>
  </si>
  <si>
    <t>Process/task isolation; Docker; MCP adapter</t>
  </si>
  <si>
    <t>Không thực thi shell tự do từ LLM; side effect có token/idempotency và approval; sandbox không bị trình bày như giao dịch thật.</t>
  </si>
  <si>
    <t>SRC-05 L5; SRC-02 §7.9</t>
  </si>
  <si>
    <t>Các đầu ra và test/eval của M3</t>
  </si>
  <si>
    <t>docs/reports/milestones/m3-review.md; checklist; demo; manifest phiên bản</t>
  </si>
  <si>
    <t>G3: order ownership + deterministic policy + agent review/outcome pass; điều kiện thiếu được hỏi lại; có ticket tới specialist thật trong app.</t>
  </si>
  <si>
    <t>SRC-02 BUY-AC-02..05; AG-AC-01..05; SRC-04</t>
  </si>
  <si>
    <t>ML / Data</t>
  </si>
  <si>
    <t>UIT datasets + domain records + policy quyền dữ liệu</t>
  </si>
  <si>
    <t>Kiểm count/split chính thức thay vì áp tỷ lệ minh họa; map 10 aspects và nhóm macro; dedup leakage; giữ test locked; xác định labels span cho ATE; bổ sung delivery/service nếu thiếu.</t>
  </si>
  <si>
    <t>aspect_taxonomy_v1.yaml; train/dev/test parquet + data card/manifests</t>
  </si>
  <si>
    <t>MOD-07</t>
  </si>
  <si>
    <t>Python; pandas; Parquet; schema validation</t>
  </si>
  <si>
    <t>IO-10, IO-14</t>
  </si>
  <si>
    <t>Không trộn test vào train; thiếu span labels không báo ATE đạt; vùng domain chưa đủ mẫu ghi hạn chế.</t>
  </si>
  <si>
    <t>SRC-06 §3; SRC-07 ABSA; SRC-02 §7.3</t>
  </si>
  <si>
    <t>Frozen train/dev/test + taxonomy</t>
  </si>
  <si>
    <t>TF-IDF + Logistic Regression cho aspect detection và sentiment theo aspect; chuẩn hóa tiếng Việt; output schema; label none/other và unsupported language; metric per-aspect/polarity.</t>
  </si>
  <si>
    <t>Baseline model; inference; eval scripts; confusion matrices</t>
  </si>
  <si>
    <t>scikit-learn; Python; pytest</t>
  </si>
  <si>
    <t>IO-10</t>
  </si>
  <si>
    <t>Reproducible seed; lưu model/taxonomy version; baseline và candidate dùng cùng split/metric.</t>
  </si>
  <si>
    <t>SRC-07 ABSA-AC-01..10; SRC-02 §13.1</t>
  </si>
  <si>
    <t>Baseline, labeled splits và GPU/CPU budget</t>
  </si>
  <si>
    <t>Fine-tune một PhoBERT candidate có bounded run; ATE chỉ trên dữ liệu span phù hợp; calibration trên dev; slices phủ định/slang/emoji/multi-aspect; không search rộng.</t>
  </si>
  <si>
    <t>Candidate checkpoint; logs; calibration; span extraction report; model card</t>
  </si>
  <si>
    <t>PyTorch; Transformers; PhoBERT candidate; temperature scaling</t>
  </si>
  <si>
    <t>IO-10, IO-15</t>
  </si>
  <si>
    <t>Báo riêng aspect, polarity và span F1; confidence không tự nhận là calibrated nếu chưa đo; run manifest có dataset/code/config hashes.</t>
  </si>
  <si>
    <t>SRC-06 §3; SRC-07 ABSA; SRC-15</t>
  </si>
  <si>
    <t>Baseline/candidate predictions</t>
  </si>
  <si>
    <t>So Macro-F1/per-aspect/span/ECE và latency/memory; chọn model đạt floor; low-confidence (&lt;0.70 tạm đề xuất) vào review queue; giữ mô hình cũ nếu regression.</t>
  </si>
  <si>
    <t>ABSA comparison report; champion config; release decision</t>
  </si>
  <si>
    <t>scikit-learn metrics; Python eval; model registry manifest</t>
  </si>
  <si>
    <t>MVP floor 0.80 chỉ demo; production target 0.85, critical aspect 0.75; thiếu threshold phải fail/giới hạn, không chỉnh số đo.</t>
  </si>
  <si>
    <t>SRC-06 §3.3; SRC-04; SRC-07</t>
  </si>
  <si>
    <t>ABSA model; FeedbackRecord; review data</t>
  </si>
  <si>
    <t>POST ingest persist rồi queue; dedup source+ID; validate spam/empty/date/lang; Redis Streams consumer retry/DLQ; infer tất cả accepted records; append predictions và enrich review index.</t>
  </si>
  <si>
    <t>Pipeline A; workers; absa_predictions; feedback_reviews index; coverage report</t>
  </si>
  <si>
    <t>MOD-02, MOD-04, MOD-07</t>
  </si>
  <si>
    <t>FastAPI; Redis Streams; PostgreSQL; Qdrant</t>
  </si>
  <si>
    <t>IO-03, IO-10</t>
  </si>
  <si>
    <t>Không giới hạn bằng top_k; accepted=processed+pending+failed có lý do; replay không trùng; model version không overwrite.</t>
  </si>
  <si>
    <t>SRC-02 §5.2,7.1,8; SRC-06 §2–4; SRC-14</t>
  </si>
  <si>
    <t>Router labels, known safety patterns, ABSA inference</t>
  </si>
  <si>
    <t>Seed 1,500 router texts bằng templates + kiểm thủ công mẫu; benchmark rules vs classifier; route macro_review/complaint_ticket/out_of_scope; policy_query vào nhánh chat; Redis sliding window và quota.</t>
  </si>
  <si>
    <t>Router dataset/card; router service; rate limiter; /api/v1/absa/predict</t>
  </si>
  <si>
    <t>MOD-01, MOD-02, MOD-07, MOD-12</t>
  </si>
  <si>
    <t>scikit-learn/embedding classifier; Redis; FastAPI</t>
  </si>
  <si>
    <t>Synthetic scores không đại diện production; urgent complaint không bỏ qua; unsupported language phản hồi rõ; policy hỏi chung không bị loại.</t>
  </si>
  <si>
    <t>SRC-05 L1; SRC-06 §2.2; SRC-07 ABSA</t>
  </si>
  <si>
    <t>ABSA + router + Agent Workspace</t>
  </si>
  <si>
    <t>Gắn aspect/sentiment/entities/urgency/confidence lên ticket; agent sửa nhãn; fail inference vẫn có fallback; capture corrections có author/version; validate PII xuyên pipeline.</t>
  </si>
  <si>
    <t>Ticket triage v1; correction endpoint; buyer/agent regression</t>
  </si>
  <si>
    <t>MOD-01, MOD-07, MOD-11</t>
  </si>
  <si>
    <t>FastAPI; React; PostgreSQL; pytest</t>
  </si>
  <si>
    <t>IO-10, IO-13</t>
  </si>
  <si>
    <t>BUY-AC-01 có model version; human correction không tự ghi đè prediction; không chặn chat vì batch job chậm.</t>
  </si>
  <si>
    <t>SRC-02 §3.1–3.2,7.10; SRC-04</t>
  </si>
  <si>
    <t>Các đầu ra và test/eval của M4</t>
  </si>
  <si>
    <t>docs/reports/milestones/m4-review.md; checklist; demo; manifest phiên bản</t>
  </si>
  <si>
    <t>G4: batch coverage 100% accepted corpus với failures minh bạch; model eval thật; triage/corrections hoạt động; target chưa đạt phải ghi rõ.</t>
  </si>
  <si>
    <t>SRC-04; SRC-06 §3; SRC-07 ABSA</t>
  </si>
  <si>
    <t>Predictions/version + outcomes/timestamps</t>
  </si>
  <si>
    <t>Tính aspect mention/negative ratio, WoW, product/version/channel cohorts; chọn model snapshot; denominator rõ; cảnh báo min-sample + baseline; ghi freshness và unknown outcomes.</t>
  </si>
  <si>
    <t>Aggregate APIs; metric lineage; scheduled anomaly jobs</t>
  </si>
  <si>
    <t>MOD-09</t>
  </si>
  <si>
    <t>PostgreSQL SQL/materialized views; worker jobs</t>
  </si>
  <si>
    <t>IO-11</t>
  </si>
  <si>
    <t>Aggregate khớp kiểm đếm corpus; không double count model versions; zero denominator trả no-data; không ngụy tạo real-time.</t>
  </si>
  <si>
    <t>SRC-02 §7.4,13.5; SRC-04; SRC-14</t>
  </si>
  <si>
    <t>Aggregate APIs và metric dictionary</t>
  </si>
  <si>
    <t>Chart distribution/trend theo SKU/firmware/time/channel; population, freshness, FRT/AHT/MTTR/FCR/CSAT/cost/reopen; trạng thái no-data; phân quyền PII.</t>
  </si>
  <si>
    <t>apps/analyst_dashboard với bộ lọc và outcome view</t>
  </si>
  <si>
    <t>MOD-10</t>
  </si>
  <si>
    <t>React; TypeScript; chart component; FastAPI</t>
  </si>
  <si>
    <t>Có population và dữ liệu nguồn; các KPI chưa có baseline/mẫu đủ phải hiện chưa đủ dữ liệu.</t>
  </si>
  <si>
    <t>SRC-02 §3.3–3.4; SRC-14; SRC-03 US-PM-01</t>
  </si>
  <si>
    <t>Dashboard context + feedback index</t>
  </si>
  <si>
    <t>Mở rộng InvestigationDrilldownRequest query/filters/date range; lấy 5–10 cases đa dạng, giữ product/aspect-polarity cặp đúng; thêm 40 golden review queries; benchmark 4 retrieval modes trên domain mới.</t>
  </si>
  <si>
    <t>Investigation API/UI; evidence pack; review retrieval report; tổng 80 golden queries</t>
  </si>
  <si>
    <t>MOD-04, MOD-10</t>
  </si>
  <si>
    <t>Qdrant payload/nested filters; RRF; BGE adapter; FastAPI</t>
  </si>
  <si>
    <t>IO-05, IO-12</t>
  </si>
  <si>
    <t>Filters không rơi khi click; nguồn/timestamp hợp lệ; không nhầm battery-positive với delivery-negative trong cùng review.</t>
  </si>
  <si>
    <t>SRC-02 AN-AC-01..03; SRC-06 §4; SRC-07 Retrieval</t>
  </si>
  <si>
    <t>Synthetic spike cohort + real ingested snapshot</t>
  </si>
  <si>
    <t>So SQL với tính độc lập; replay timestamp/timezone; test empty cohort; đo alert precision trên labeled synthetic scenarios và ghi giới hạn.</t>
  </si>
  <si>
    <t>Analytics/drill-down test report; anomaly evaluation</t>
  </si>
  <si>
    <t>MOD-09, MOD-10</t>
  </si>
  <si>
    <t>pytest; SQL; browser tests</t>
  </si>
  <si>
    <t>Coverage 100% eligible ingested records; source/model lineage; alert KPI là mục tiêu, không claim production từ synthetic.</t>
  </si>
  <si>
    <t>SRC-04; SRC-05 §4; SRC-07 NFR</t>
  </si>
  <si>
    <t>Các đầu ra và test/eval của M5</t>
  </si>
  <si>
    <t>docs/reports/milestones/m5-review.md; checklist; demo; manifest phiên bản</t>
  </si>
  <si>
    <t>G5: dashboard từ corpus đầy đủ → filtered evidence có thể tái lập; số liệu không lấy từ mock; có freshness và denominator.</t>
  </si>
  <si>
    <t>SRC-02 AN-AC-01..03; SRC-03 US-PM-01</t>
  </si>
  <si>
    <t>Data / kiến trúc</t>
  </si>
  <si>
    <t>Blueprint §7.6 + ontology-schema + data spec</t>
  </si>
  <si>
    <t>ADR dùng Issue làm trung tâm; giữ ProductVersion/Firmware/Symptom/RootCause/Policy/Resolution/Evidence/Team/ServiceCenter; map schema rút gọn; tách trạng thái issue và cause; schema validation.</t>
  </si>
  <si>
    <t>Ontology v1 + migration mapping + lifecycle transition rules</t>
  </si>
  <si>
    <t>MOD-08</t>
  </si>
  <si>
    <t>Neo4j schema; Pydantic; Cypher</t>
  </si>
  <si>
    <t>IO-12</t>
  </si>
  <si>
    <t>version_id duy nhất theo product+hw+fw; LLM không được confirm cause; tài liệu canonical và alias nhất quán.</t>
  </si>
  <si>
    <t>SRC-02 §7.6; SRC-08; SRC-06 §5; DEC-06</t>
  </si>
  <si>
    <t>Data / Backend</t>
  </si>
  <si>
    <t>Canonical ontology, product/policy data, curated evidence</t>
  </si>
  <si>
    <t>Seed ~15 symptoms/10 causes/10 resolutions/5 centers; có hypothesis và confirmed; constraints, orphan/duplicate checks; sync idempotent từ registry/evidence; publish version manifest.</t>
  </si>
  <si>
    <t>neo4j_ontology_seed.json; graph_sync; graph contracts</t>
  </si>
  <si>
    <t>Neo4j; Cypher; Python driver; PostgreSQL</t>
  </si>
  <si>
    <t>Mọi cause confirmed có evidence/approver; sample firmware fixes được đánh dấu demo; replay không tạo duplicate.</t>
  </si>
  <si>
    <t>SRC-06 §5,8; SRC-08; WEB-03</t>
  </si>
  <si>
    <t>Neo4j seed + retrieval EvidencePack</t>
  </si>
  <si>
    <t>Entity link theo bridge keys; traversal parameterized theo product/version; trả paths, status, evidence, approved resolution và policy; bound hops/limit/timeout.</t>
  </si>
  <si>
    <t>Graph retriever + GraphContext contract + query tests</t>
  </si>
  <si>
    <t>MOD-04, MOD-08</t>
  </si>
  <si>
    <t>Neo4j; Cypher; Qdrant; Python</t>
  </si>
  <si>
    <t>Hypothesis luôn gắn status; chỉ confirmed/approved dùng khẳng định; graph unavailable trả degraded và review.</t>
  </si>
  <si>
    <t>SRC-02 §7.7; SRC-08; SRC-06 §5–6</t>
  </si>
  <si>
    <t>GraphContext + PolicyDecision + FSM</t>
  </si>
  <si>
    <t>Fuse review/policy/graph evidence; draft cite từng nguồn; chọn hướng dẫn đúng product/version, service center; graph confidence không thay điều kiện policy; rerun safety suite.</t>
  </si>
  <si>
    <t>Resolution v2 có graph citations và verified status</t>
  </si>
  <si>
    <t>MOD-01, MOD-03, MOD-06, MOD-08</t>
  </si>
  <si>
    <t>Python FSM; Pydantic; Neo4j; LLM client</t>
  </si>
  <si>
    <t>IO-08, IO-12</t>
  </si>
  <si>
    <t>Known issue có nguồn; thiếu confirmed cause không đoán; không hứa free replacement từ text mẫu.</t>
  </si>
  <si>
    <t>SRC-02 BUY-AC-03..04; SRC-06 §6</t>
  </si>
  <si>
    <t>Graph context + dashboard filters</t>
  </si>
  <si>
    <t>Hiển thị paths/evidence, hypothesis vs confirmed; tạo new/duplicate issue, note và evidence; issue owner/state; PM xem resolution efficacy và recurrence.</t>
  </si>
  <si>
    <t>Graph explorer tối giản; analyst annotation + PM issue detail</t>
  </si>
  <si>
    <t>MOD-08, MOD-10</t>
  </si>
  <si>
    <t>React; TypeScript; FastAPI</t>
  </si>
  <si>
    <t>IO-12, IO-13</t>
  </si>
  <si>
    <t>Annotation author/time/version đầy đủ; root-cause discovery là giả thuyết cho tới khi duyệt; policy source xem được.</t>
  </si>
  <si>
    <t>SRC-02 §3.3–3.4; SRC-14</t>
  </si>
  <si>
    <t>Full-stack</t>
  </si>
  <si>
    <t>Proposed mutations + role matrix</t>
  </si>
  <si>
    <t>UI queue approve/reject/conflict; quyền analyst/steward riêng dù demo cùng người; retire policy; atomic publish/version; audit và rollback; sensitive updates chờ reviewer được chỉ định.</t>
  </si>
  <si>
    <t>Steward workflow + knowledge versions + approval records</t>
  </si>
  <si>
    <t>MOD-08, MOD-11, MOD-06</t>
  </si>
  <si>
    <t>FastAPI; PostgreSQL change log; Neo4j; React</t>
  </si>
  <si>
    <t>IO-13</t>
  </si>
  <si>
    <t>Chưa approved không ảnh hưởng runtime; không silent overwrite; production reviewer độc lập cần người được ủy quyền.</t>
  </si>
  <si>
    <t>SRC-02 §3.5,7.10,14; SRC-05 US-STEWARD-01</t>
  </si>
  <si>
    <t>Backend / Platform</t>
  </si>
  <si>
    <t>Published graph/policy revisions + index snapshots</t>
  </si>
  <si>
    <t>Invalidate cache/reindex khi policy thay; báo stale; graph/policy/index release manifest; rollback tri thức không rollback app; kiểm integrity và retention references.</t>
  </si>
  <si>
    <t>Knowledge publication pipeline; version rollback drill</t>
  </si>
  <si>
    <t>MOD-04, MOD-06, MOD-08, MOD-12</t>
  </si>
  <si>
    <t>PostgreSQL; Qdrant; Neo4j; Redis; manifests</t>
  </si>
  <si>
    <t>Draft trace đúng policy/graph version; policy retired không được lấy qua cache cũ.</t>
  </si>
  <si>
    <t>SRC-02 §15,20; SRC-06 §5–7</t>
  </si>
  <si>
    <t>5 persona scripts; thêm 20 knowledge queries và 20 resolution cases</t>
  </si>
  <si>
    <t>Chạy chuỗi end-to-end firmware demo; kiểm schema/approval/paths/source; tổng golden ≥100 và resolution ≥50; báo riêng policy/review/graph retrieval slices.</t>
  </si>
  <si>
    <t>Graph E2E recording; graph/resolution eval v2; source-linked reports</t>
  </si>
  <si>
    <t>MOD-01, MOD-08, MOD-10, MOD-11</t>
  </si>
  <si>
    <t>pytest; browser tests; Cypher assertions</t>
  </si>
  <si>
    <t>5 role paths chạy với data demo; tổng ≥100 queries, ≥50 safety scenarios; unconfirmed case bắt buộc abstain/review.</t>
  </si>
  <si>
    <t>SRC-02 §19,21; SRC-06 §4,6; SRC-04</t>
  </si>
  <si>
    <t>Kiến trúc / ML</t>
  </si>
  <si>
    <t>Local GraphRAG report + cost/time budget</t>
  </si>
  <si>
    <t>So nhu cầu global graph summary/DRIFT với warehouse+clustering; ghi benchmark proposal và lý do defer; ghi microVM/automation/ASTE thành backlog có entry criteria.</t>
  </si>
  <si>
    <t>Extension ADR; roadmap sau tuần 14; scope ledger</t>
  </si>
  <si>
    <t>MOD-08, MOD-12</t>
  </si>
  <si>
    <t>ADR; evaluation design</t>
  </si>
  <si>
    <t>Không đánh dấu global GraphRAG/DRIFT đã triển khai; mọi yêu cầu advanced có task/điều kiện riêng.</t>
  </si>
  <si>
    <t>SRC-02 §7.7,18 Phase5; SRC-07</t>
  </si>
  <si>
    <t>Các đầu ra và test/eval của M6</t>
  </si>
  <si>
    <t>docs/reports/milestones/m6-review.md; checklist; demo; manifest phiên bản</t>
  </si>
  <si>
    <t>G6: quant→qual→proposed→review→publish→new ticket có bằng chứng; rollback tri thức và các trạng thái chưa xác nhận hoạt động.</t>
  </si>
  <si>
    <t>SRC-02 AN-AC-04..06; §3.5,19; SRC-04</t>
  </si>
  <si>
    <t>Dành ngày 01/01/2027 trong quỹ nghỉ/dự phòng. Core tasks M6 được xếp vòng qua ngày này. Nếu lịch nghỉ thay đổi, rebaseline lịch và capacity.</t>
  </si>
  <si>
    <t>Không xếp công việc core vào ngày nghỉ dự kiến.</t>
  </si>
  <si>
    <t>Calendar reserve</t>
  </si>
  <si>
    <t>Corrections, edits, relevance, stale flags, outcomes</t>
  </si>
  <si>
    <t>Unified contribution API và statuses proposed/reviewed/approved/rejected/published; resolve disagreement; export chỉ approved; label/retrieval/knowledge queues riêng; dataset lineage.</t>
  </si>
  <si>
    <t>Annotation store; approved training/eval exports; judgments dataset</t>
  </si>
  <si>
    <t>PostgreSQL; Pydantic; JSONL/Parquet</t>
  </si>
  <si>
    <t>Hỗ trợ 8 feedback types trong blueprint; raw annotation không thành ground truth; test labels không nhập train.</t>
  </si>
  <si>
    <t>SRC-02 §7.10; SRC-06 §7</t>
  </si>
  <si>
    <t>Approved corrections + baseline training/eval pipelines</t>
  </si>
  <si>
    <t>Chọn uncertainty/disagreement, giữ quota diversity; retrain một candidate bounded; so cùng held-out locked; publish hoặc reject; lưu artifacts và rollback pointer.</t>
  </si>
  <si>
    <t>Active-learning report; candidate model; promotion/rollback manifest</t>
  </si>
  <si>
    <t>MOD-07, MOD-11</t>
  </si>
  <si>
    <t>PyTorch/scikit-learn pipelines; versioned artifacts</t>
  </si>
  <si>
    <t>IO-10, IO-14, IO-15</t>
  </si>
  <si>
    <t>Không bắt buộc candidate phải tốt hơn; chỉ promote nếu gate pass; không tự publish từ feedback chưa duyệt.</t>
  </si>
  <si>
    <t>SRC-02 §7.10,13,15; SRC-06 §7; SRC-15</t>
  </si>
  <si>
    <t>ML / Platform</t>
  </si>
  <si>
    <t>Inference distributions + outcome events</t>
  </si>
  <si>
    <t>Monitor label/aspect/confidence/input-length/language drift và queue depth; draft acceptance/edit reasons; alert theo baseline và sample size; nối version dimensions.</t>
  </si>
  <si>
    <t>Quality/drift dashboard và alert config</t>
  </si>
  <si>
    <t>MOD-07, MOD-09, MOD-12</t>
  </si>
  <si>
    <t>Prometheus/OpenTelemetry; SQL; scheduled jobs</t>
  </si>
  <si>
    <t>Drift chỉ là tín hiệu kiểm tra; không tự đổi model/policy; thresholds và observed window được ghi.</t>
  </si>
  <si>
    <t>SRC-05 L7; SRC-07 monitoring; SRC-02 §15</t>
  </si>
  <si>
    <t>Backend / governance</t>
  </si>
  <si>
    <t>Data inventory + retention decisions + synthetic subject request</t>
  </si>
  <si>
    <t>Xóa/sửa subject record qua SQL, index, graph evidence links, caches và exports; tombstone/audit phù hợp; đánh dấu model artifacts cần đánh giá khi chứa training record đã xóa.</t>
  </si>
  <si>
    <t>Deletion/correction workflow + lineage test</t>
  </si>
  <si>
    <t>MOD-02, MOD-08, MOD-11, MOD-12</t>
  </si>
  <si>
    <t>PostgreSQL; Qdrant; Neo4j; artifact manifests</t>
  </si>
  <si>
    <t>IO-13, IO-15</t>
  </si>
  <si>
    <t>Không còn retrievable record bị xóa; raw PII không được phục hồi qua rollback; model unlearning không được tuyên bố đã làm.</t>
  </si>
  <si>
    <t>SRC-02 §14,21; SRC-07 governance</t>
  </si>
  <si>
    <t>Feedback cycle, dataset/model/graph manifests</t>
  </si>
  <si>
    <t>Chạy export/retrain/publish/reject/rollback tests; liên kết resolution_success/reopen/recurrence; kiểm final response và author trace.</t>
  </si>
  <si>
    <t>Closed-loop E2E report; outcome linkage checks</t>
  </si>
  <si>
    <t>MOD-07, MOD-09, MOD-11</t>
  </si>
  <si>
    <t>pytest; SQL; manifest diff</t>
  </si>
  <si>
    <t>Mỗi thay đổi có source/author/reviewer/version; không học trực tiếp từ người dùng; kết quả kém không promote.</t>
  </si>
  <si>
    <t>SRC-02 §21; SRC-03; SRC-06 §7</t>
  </si>
  <si>
    <t>Các đầu ra và test/eval của M7</t>
  </si>
  <si>
    <t>docs/reports/milestones/m7-review.md; checklist; demo; manifest phiên bản</t>
  </si>
  <si>
    <t>G7: sửa nhãn/tri thức→duyệt→dataset/model/knowledge version→đánh giá→publish hoặc reject được chạy và truy vết.</t>
  </si>
  <si>
    <t>SRC-02 §7.10,21; SRC-04</t>
  </si>
  <si>
    <t>Existing CI workflows + all eval reports</t>
  </si>
  <si>
    <t>Chạy unit/contract/integration/eval/E2E; build once by digest; attach data/model/index/graph/policy/prompt versions; promote same artifact; model/app rollback tách; giữ test evidence.</t>
  </si>
  <si>
    <t>Release workflow + run-manifest + reproducibility scripts</t>
  </si>
  <si>
    <t>GitHub Actions; Poetry lock; Docker; pytest; artifacts/S3</t>
  </si>
  <si>
    <t>CI pass gồm AI/policy gates, không chỉ Pod Ready; không commit model/index binaries.</t>
  </si>
  <si>
    <t>SRC-02 §15–16,21; SRC-15; SRC-16</t>
  </si>
  <si>
    <t>Compose release + infrastructure ADR + cloud prerequisites</t>
  </si>
  <si>
    <t>Helm/Terraform cấu hình bounded demo; OIDC builder/staging/prod roles; per-service identity; Secrets, NetworkPolicy, non-root/read-only; CPU/GPU worker separation; validate/render plan.</t>
  </si>
  <si>
    <t>IaC/chart package; IAM matrix; rendered manifests; cloud cost/prerequisite record</t>
  </si>
  <si>
    <t>Helm; Terraform; EKS/ECR/S3/Secrets target; Kubernetes</t>
  </si>
  <si>
    <t>Không hứa production full trong 1 ngày: scope là minimal validated package; thiếu account hoặc resource thì live apply là BLOCKED.</t>
  </si>
  <si>
    <t>SRC-02 §14.3,16; SRC-05 §7; DEC-11</t>
  </si>
  <si>
    <t>Release artifacts + available local/staging resources</t>
  </si>
  <si>
    <t>Chạy Compose demo bắt buộc; nếu prereqs đủ, triển khai bounded EKS staging; trace→logs→metrics; dependency readiness, secrets, alerts và cost; ghi endpoint/env và kết quả.</t>
  </si>
  <si>
    <t>Runnable environment; deploy smoke evidence; production-target status</t>
  </si>
  <si>
    <t>Docker Compose; optional live EKS; OTel; Prometheus/Grafana</t>
  </si>
  <si>
    <t>Local pass không thay live-cloud evidence; prod promotion chưa có approval phải để pending; không ghi enterprise-ready.</t>
  </si>
  <si>
    <t>SRC-02 §15–16; SRC-07 NFR; SRC-05 L7</t>
  </si>
  <si>
    <t>QA / Platform</t>
  </si>
  <si>
    <t>Frozen corpus, fixed hardware and release</t>
  </si>
  <si>
    <t>Cold/warm p50/p95/p99 và concurrency; 1x/3x/10x synthetic load nếu tài nguyên cho phép; stage time, RAM/disk/GPU; inject timeout/Qdrant/Neo4j/queue errors; backlog/resume.</t>
  </si>
  <si>
    <t>Load/failure report + measured resource envelope + tuned config</t>
  </si>
  <si>
    <t>MOD-04, MOD-07, MOD-12</t>
  </si>
  <si>
    <t>Python load harness; metrics; Docker stats</t>
  </si>
  <si>
    <t>IO-14, IO-15</t>
  </si>
  <si>
    <t>Các SLO 250ms/300ms/&lt;2s là targets chưa chứng minh; phần không chạy ghi NOT RUN; output partial không silent.</t>
  </si>
  <si>
    <t>SRC-07 NFR; SRC-05 §5.2; SRC-06 sizing</t>
  </si>
  <si>
    <t>Release + role matrix + snapshots</t>
  </si>
  <si>
    <t>Test cross-customer/role, PII, deletion, prompt injection, stale policy; backup/restore PostgreSQL/Qdrant/Neo4j; rollback app/model/index/knowledge riêng; document incident response.</t>
  </si>
  <si>
    <t>Security regression; restore/rollback timings; runbooks</t>
  </si>
  <si>
    <t>pytest; backup tools; manifests; Docker/Kubernetes</t>
  </si>
  <si>
    <t>Zero leak/unauthorized action trên suite; source/lineage sau restore nhất quán; không tự tuyên bố tuân thủ pháp lý.</t>
  </si>
  <si>
    <t>SRC-02 §14–16,21; SRC-07 governance</t>
  </si>
  <si>
    <t>QA / Product</t>
  </si>
  <si>
    <t>5 persona scripts + ≥100 queries + ≥50 resolution cases</t>
  </si>
  <si>
    <t>Chạy buyer, agent, analyst, PM, steward; end-to-end story firmware; rerun frozen AI suites; ghi bug/residual limitation; đối chiếu từng acceptance ID và nguồn.</t>
  </si>
  <si>
    <t>UAT matrix; recordings; final evaluation tables; coverage status</t>
  </si>
  <si>
    <t>Browser tests; pytest; human rubric; Excel traceability</t>
  </si>
  <si>
    <t>Mỗi story có API/UI/data/eval/audit/failure path; gate fail không đổi thành Done vì deadline.</t>
  </si>
  <si>
    <t>SRC-02 §19,21; SRC-03; SRC-04</t>
  </si>
  <si>
    <t>Analytics / QA</t>
  </si>
  <si>
    <t>Manual/assisted timing, events and outcome samples</t>
  </si>
  <si>
    <t>Tính FRT/AHT/FCR/MTTR/CSAT/draft acceptance/reopen/cost; phân biệt synthetic replay và pilot thật; nêu sample size/time window; 40%/15% là mục tiêu chưa đảm bảo.</t>
  </si>
  <si>
    <t>Business KPI report; measurement limitations; post-demo pilot plan</t>
  </si>
  <si>
    <t>MOD-09, MOD-12</t>
  </si>
  <si>
    <t>SQL; Python; metric dictionary</t>
  </si>
  <si>
    <t>IO-11, IO-15</t>
  </si>
  <si>
    <t>Không có real users thì business impact NOT VALIDATED; metric denominator rõ và không trộn % tương đối với điểm phần trăm.</t>
  </si>
  <si>
    <t>SRC-03; SRC-04; SRC-05 §9; DEC-04</t>
  </si>
  <si>
    <t>Documentation / QA</t>
  </si>
  <si>
    <t>Release manifest; all source/test/eval reports</t>
  </si>
  <si>
    <t>Quickstart, data/model cards, API docs, runbooks, demo scripts, scope ledger; presentation Problem→Users→Evidence→Resolution→Learn; ghi rõ conditional/deferred và cách tiếp tục.</t>
  </si>
  <si>
    <t>Final report; release archive; handover checklist; demo guide</t>
  </si>
  <si>
    <t>Markdown; OpenAPI; Git; artifact manifest</t>
  </si>
  <si>
    <t>Máy sạch có thể dựng bounded demo theo hướng dẫn; không dùng đường dẫn máy cá nhân trong docs mới; mọi claim có evidence.</t>
  </si>
  <si>
    <t>SRC-02 §21–22; SRC-15; SRC-16</t>
  </si>
  <si>
    <t>Các đầu ra và test/eval của M8</t>
  </si>
  <si>
    <t>docs/reports/milestones/m8-review.md; checklist; demo; manifest phiên bản</t>
  </si>
  <si>
    <t>G8: demo 5 stories + quality/data/governance/release evidence; đánh giá riêng core demo, target quality, cloud và business validation; còn thiếu ghi OPEN.</t>
  </si>
  <si>
    <t>SRC-02 §21; SRC-03; SRC-04; SRC-07</t>
  </si>
  <si>
    <t>CAPACITY | một người, không xếp chồng công việc</t>
  </si>
  <si>
    <t>70 weekday slots = 60 ngày công core/gate + 9 ngày dự phòng + 1 ngày nghỉ dự kiến 01/01. Thời gian chờ GPU/API không tự được coi là nhân lực bổ sung.</t>
  </si>
  <si>
    <t>Từ</t>
  </si>
  <si>
    <t>Đến</t>
  </si>
  <si>
    <t>Người</t>
  </si>
  <si>
    <t>Core/gate days</t>
  </si>
  <si>
    <t>Buffer days</t>
  </si>
  <si>
    <t>Nghỉ dự kiến</t>
  </si>
  <si>
    <t>Tổng weekday slots</t>
  </si>
  <si>
    <t>Các task trong tuần</t>
  </si>
  <si>
    <t>Kiểm tải</t>
  </si>
  <si>
    <t>M0.1, M0.2, M0.3, M0.4, M0.G, M0.B</t>
  </si>
  <si>
    <t>PASS — không chồng lịch</t>
  </si>
  <si>
    <t>M1.1, M1.2, M1.3, M1.4, M1.G, M1.B</t>
  </si>
  <si>
    <t>M2.1, M2.2, M2.3, M2.4, M2.5</t>
  </si>
  <si>
    <t>M2.5, M2.6, M2.7, M2.8, M2.G, M2.B</t>
  </si>
  <si>
    <t>M3.1, M3.2, M3.3, M3.4, M3.5</t>
  </si>
  <si>
    <t>M3.5, M3.6, M3.7, M3.8, M3.G, M3.B</t>
  </si>
  <si>
    <t>M4.1, M4.2, M4.3, M4.4</t>
  </si>
  <si>
    <t>M4.5, M4.6, M4.7, M4.G, M4.B</t>
  </si>
  <si>
    <t>M5.1, M5.2, M5.3, M5.4, M5.G, M5.B</t>
  </si>
  <si>
    <t>M6.1, M6.2, M6.3, M6.4, M6.B</t>
  </si>
  <si>
    <t>M6.5, M6.6, M6.7, M6.8, M6.9, M6.G</t>
  </si>
  <si>
    <t>M7.1, M7.2, M7.3, M7.4, M7.5, M7.G, M7.B</t>
  </si>
  <si>
    <t>M8.1, M8.2, M8.3, M8.4, M8.5</t>
  </si>
  <si>
    <t>M8.6, M8.7, M8.8, M8.G, M8.B</t>
  </si>
  <si>
    <t>MODULE CATALOG | trách nhiệm và ranh giới</t>
  </si>
  <si>
    <t>MOD-xx là module năng lực; M0–M8 là giai đoạn bàn giao. Tên thư mục “mới” là đề xuất cần tạo, không phải code đã tồn tại.</t>
  </si>
  <si>
    <t>Module ID</t>
  </si>
  <si>
    <t>Tên module</t>
  </si>
  <si>
    <t>User stories</t>
  </si>
  <si>
    <t>Output</t>
  </si>
  <si>
    <t>Trách nhiệm</t>
  </si>
  <si>
    <t>Vị trí trong repo</t>
  </si>
  <si>
    <t>Contract/API</t>
  </si>
  <si>
    <t>Phụ thuộc</t>
  </si>
  <si>
    <t>Ranh giới / quyết định</t>
  </si>
  <si>
    <t>Chatbot &amp; conversation</t>
  </si>
  <si>
    <t>M0–M3; enrich M4/M6</t>
  </si>
  <si>
    <t>US-BUY-01</t>
  </si>
  <si>
    <t>Message + authenticated session + permitted history</t>
  </si>
  <si>
    <t>Answer/citations/clarification/handoff; persisted messages</t>
  </si>
  <si>
    <t>Session ownership; sliding buffer/summary; intent/follow-up; orchestration; buyer UI</t>
  </si>
  <si>
    <t>apps/api; packages/conversation (mới); apps/chatbot (mới)</t>
  </si>
  <si>
    <t>FastAPI; PostgreSQL; Redis; React/TypeScript</t>
  </si>
  <si>
    <t>IO-01, IO-02; POST /api/v1/chat/messages (mới)</t>
  </si>
  <si>
    <t>MOD-02/03/04; optional 05/06/07/08</t>
  </si>
  <si>
    <t>Không bắt ChatRequest phải có product/order. Order tool chỉ chạy sau xác thực. Backend modular monolith, worker riêng khi cần.</t>
  </si>
  <si>
    <t>Data ingestion &amp; knowledge preparation</t>
  </si>
  <si>
    <t>M1; M4; M7</t>
  </si>
  <si>
    <t>ALL</t>
  </si>
  <si>
    <t>Crawler exports, docs, reviews/tickets/chats</t>
  </si>
  <si>
    <t>Validated/masked records; chunks; manifests; rejected records</t>
  </si>
  <si>
    <t>Parse/clean/dedup/chunk; immutable ingest log; PII boundary; source/rights; queue/retry/DLQ</t>
  </si>
  <si>
    <t>pipelines/ingest_feedback; pii_masking; policy_ingestion; apps/worker; adapter đọc Data_crawling</t>
  </si>
  <si>
    <t>Python; Pydantic; JSONL/Parquet; PostgreSQL; Redis Streams</t>
  </si>
  <si>
    <t>IO-03, IO-04; POST /api/v1/ingest/feedback</t>
  </si>
  <si>
    <t>Giữ Data_crawling độc lập; ứng dụng đọc export, không import crawler runtime hoặc sửa scope crawler.</t>
  </si>
  <si>
    <t>LLM generation &amp; guardrails</t>
  </si>
  <si>
    <t>M2; M3; M6</t>
  </si>
  <si>
    <t>US-BUY-01; US-AGENT-01</t>
  </si>
  <si>
    <t>EvidencePack + allowed actions + bounded context</t>
  </si>
  <si>
    <t>Validated answer/draft + citations + review reason</t>
  </si>
  <si>
    <t>Provider client, prompts, retries, schema, claim/citation checks, no-evidence abstention, PII output</t>
  </si>
  <si>
    <t>packages/llm/{clients,prompts,structured_outputs,guardrails}</t>
  </si>
  <si>
    <t>Configurable LLM; HTTP client; Pydantic; Python validators</t>
  </si>
  <si>
    <t>IO-02, IO-05, IO-08</t>
  </si>
  <si>
    <t>MOD-04; MOD-06 for personalized resolution</t>
  </si>
  <si>
    <t>LLM diễn đạt từ evidence; quyết định eligibility và quyền action thuộc MOD-06. Provider/model pin tại G0.</t>
  </si>
  <si>
    <t>Retrieval &amp; evidence</t>
  </si>
  <si>
    <t>M2; mở rộng M5/M6</t>
  </si>
  <si>
    <t>Query + namespace + authorized filters + index version</t>
  </si>
  <si>
    <t>Ranked hits/evidence + source IDs + timestamps + latency</t>
  </si>
  <si>
    <t>Dense/BM25, RRF, optional BGE rerank, diversity, citation resolver, policy/case/known-issue modes</t>
  </si>
  <si>
    <t>packages/retrieval; pipelines/build_dense_sparse_index; pipelines/eval_retrieval</t>
  </si>
  <si>
    <t>Qdrant; sentence-transformers; rank-bm25; RRF; BGE candidate</t>
  </si>
  <si>
    <t>IO-05; POST /api/v1/retrieval/search (mới)</t>
  </si>
  <si>
    <t>MOD-02; optional MOD-07/08 enrichment</t>
  </si>
  <si>
    <t>Không dùng Top-K làm thống kê; score retrieval không phải xác suất; aspect-polarity filter phải bảo toàn cặp.</t>
  </si>
  <si>
    <t>Customer &amp; order context</t>
  </si>
  <si>
    <t>Verified customer_ref/order_ref</t>
  </si>
  <si>
    <t>Order/product/warranty metadata, ownership/availability status</t>
  </si>
  <si>
    <t>CRM adapter, authorization, pseudonymized mapping, missing-field response, region lookup</t>
  </si>
  <si>
    <t>packages/customer_context; apps/api services</t>
  </si>
  <si>
    <t>PostgreSQL demo; CRM adapter; RBAC; typed/MCP tools</t>
  </si>
  <si>
    <t>IO-06; query_customer_order</t>
  </si>
  <si>
    <t>CRM/commerce là source of truth khi live. Seed demo có synthetic flag; không tự truy đơn của người khác.</t>
  </si>
  <si>
    <t>Policy registry &amp; resolution engine</t>
  </si>
  <si>
    <t>M1 catalog; M3 rules; M6 graph</t>
  </si>
  <si>
    <t>US-BUY-01; US-AGENT-01; US-STEWARD-01</t>
  </si>
  <si>
    <t>Approved policy + order context + evidence + graph context</t>
  </si>
  <si>
    <t>PolicyDecision; action candidates; ticket routing; resolution outcome</t>
  </si>
  <si>
    <t>Version/effective-date filtering; deterministic conditions; missing fields; FSM/reflection; approval; action idempotency</t>
  </si>
  <si>
    <t>packages/policy; packages/resolution; pipelines/eval_resolution</t>
  </si>
  <si>
    <t>PostgreSQL; Python rules/FSM; Pydantic; MCP adapters</t>
  </si>
  <si>
    <t>IO-07/08/09; POST /api/v1/resolution/draft</t>
  </si>
  <si>
    <t>MOD-03/04/05; optional MOD-08</t>
  </si>
  <si>
    <t>Q&amp;A nói điều kiện khác với quyết định case cụ thể. Tiền/ngoại lệ phải review; policy unknown/stale không dùng để kết luận.</t>
  </si>
  <si>
    <t>ABSA &amp; entity/triage</t>
  </si>
  <si>
    <t>M4; M7</t>
  </si>
  <si>
    <t>US-AGENT-01; US-ANALYST-01; US-PM-01</t>
  </si>
  <si>
    <t>Masked feedback + taxonomy + versioned model</t>
  </si>
  <si>
    <t>Aspect-polarity pairs, confidence, supported spans/entities, model lineage</t>
  </si>
  <si>
    <t>Baseline/candidate training; ATE/APC/category; calibration; batch all corpus; low-confidence queue; domain slices</t>
  </si>
  <si>
    <t>packages/absa; pipelines/{absa_batch,eval_absa,retrain_absa}</t>
  </si>
  <si>
    <t>scikit-learn; PyTorch/Transformers; PhoBERT candidate; Parquet</t>
  </si>
  <si>
    <t>IO-10; POST /api/v1/absa/predict (mới)</t>
  </si>
  <si>
    <t>MOD-02; MOD-12</t>
  </si>
  <si>
    <t>100% accepted corpus được accounting; không overwrite model predictions. ATE cần labels riêng; ASTE/ACOS là extension.</t>
  </si>
  <si>
    <t>Knowledge Graph &amp; GraphRAG</t>
  </si>
  <si>
    <t>M6; M7</t>
  </si>
  <si>
    <t>US-ANALYST-01; US-STEWARD-01; US-BUY-01; US-PM-01</t>
  </si>
  <si>
    <t>Versioned entities/evidence, proposed/approved mutations</t>
  </si>
  <si>
    <t>Paths, known issue context, lifecycle, published graph versions</t>
  </si>
  <si>
    <t>Canonical Issue-centered ontology, seed/sync, local traversal, vector bridge, constraints, approval, stale detection, rollback</t>
  </si>
  <si>
    <t>packages/graph/{ontology,retrievers,mutations}; pipelines/graph_sync</t>
  </si>
  <si>
    <t>Neo4j; Cypher; Python driver; PostgreSQL approval journal</t>
  </si>
  <si>
    <t>IO-12/13; controlled graph query/mutation APIs (mới)</t>
  </si>
  <si>
    <t>MOD-02/04/06/11</t>
  </si>
  <si>
    <t>Hypothesis không thành confirmed từ LLM. Graph cycle chỉ bị chặn theo invariant của quan hệ, không cấm mọi chu trình.</t>
  </si>
  <si>
    <t>Analytics, metrics &amp; alerts</t>
  </si>
  <si>
    <t>M3 events; M5 dashboard; M7/M8 eval</t>
  </si>
  <si>
    <t>US-ANALYST-01; US-PM-01</t>
  </si>
  <si>
    <t>Versioned predictions + population + ticket/outcome timestamps</t>
  </si>
  <si>
    <t>Metrics, trend/cohort context, alerts, efficacy/cost reports</t>
  </si>
  <si>
    <t>Full-corpus aggregates, denominators, version selection, min sample, data freshness, business metrics</t>
  </si>
  <si>
    <t>packages/analytics; apps/worker/jobs</t>
  </si>
  <si>
    <t>PostgreSQL aggregates; Python scheduled jobs; Prometheus</t>
  </si>
  <si>
    <t>IO-11; analytics endpoints (mới)</t>
  </si>
  <si>
    <t>MOD-02/07; MOD-06 outcomes</t>
  </si>
  <si>
    <t>Báo 100% dữ liệu hợp lệ đã ingest, không tự nhận 100% khách hàng doanh nghiệp. KPI business cần baseline/pilot thật.</t>
  </si>
  <si>
    <t>Analyst/PM dashboard &amp; investigation</t>
  </si>
  <si>
    <t>M5; M6</t>
  </si>
  <si>
    <t>Metrics/cohort filters + evidence + graph context</t>
  </si>
  <si>
    <t>Charts, issue detail, evidence drill-down, analyst annotations</t>
  </si>
  <si>
    <t>Filter state preservation; population/freshness; graph path viewer; issue ownership/lifecycle; role-safe drill-down</t>
  </si>
  <si>
    <t>apps/analyst_dashboard; apps/api investigation routes</t>
  </si>
  <si>
    <t>IO-11/12/13; POST /api/v1/investigation/drilldown (mở rộng)</t>
  </si>
  <si>
    <t>MOD-04/08/09/11</t>
  </si>
  <si>
    <t>Nêu rõ candidate cause vs confirmed; metric lineage đủ để tái tính; user không cần biết vector score nội bộ.</t>
  </si>
  <si>
    <t>Agent Workspace, feedback &amp; stewardship</t>
  </si>
  <si>
    <t>M3; M4; M6–M7</t>
  </si>
  <si>
    <t>US-AGENT-01; US-ANALYST-01; US-STEWARD-01</t>
  </si>
  <si>
    <t>Drafts/tickets, correction/relevance/outcome, proposed knowledge changes</t>
  </si>
  <si>
    <t>Final reviewed responses; approved labels; dataset/knowledge change versions</t>
  </si>
  <si>
    <t>Approve/edit/reject/reasons/escalation; annotations; stewardship queue; active learning export; status workflow</t>
  </si>
  <si>
    <t>apps/agent_workspace; packages/feedback/{annotations,knowledge_approval,active_learning}</t>
  </si>
  <si>
    <t>React; FastAPI; PostgreSQL; Python export/training jobs</t>
  </si>
  <si>
    <t>IO-09/13; POST /api/v1/feedback/contribute</t>
  </si>
  <si>
    <t>MOD-06/07/08/12</t>
  </si>
  <si>
    <t>Một người dev có thể mô phỏng 5 vai trò, không có nghĩa đã có independent UAT/production approver.</t>
  </si>
  <si>
    <t>Contracts, security, evaluation &amp; operations</t>
  </si>
  <si>
    <t>M0–M8</t>
  </si>
  <si>
    <t>All configs, events, dataset/model/index/graph/policy versions</t>
  </si>
  <si>
    <t>Typed contracts, audit, traces, eval/release reports, deployment/runbooks</t>
  </si>
  <si>
    <t>Auth/RBAC, privacy/deletion, secrets/rate limit, CI gates, versioning, backup/rollback, load/drift/cost</t>
  </si>
  <si>
    <t>packages/common; packages/data_contracts; tests; configs; infra; .github; artifacts</t>
  </si>
  <si>
    <t>Pydantic; pytest; Poetry; Docker; GitHub Actions; OTel; Prometheus; Helm/Terraform/EKS target</t>
  </si>
  <si>
    <t>IO-14/15; health probes; manifests</t>
  </si>
  <si>
    <t>Shared foundation; triển khai tăng dần</t>
  </si>
  <si>
    <t>Demo on Compose bắt buộc. Live cloud và production có entry criteria riêng; không thay test thật bằng readiness mock.</t>
  </si>
  <si>
    <t>INPUT / OUTPUT CONTRACTS | dữ liệu đi qua module</t>
  </si>
  <si>
    <t>Ví dụ JSON minh họa payload, không phải schema đầy đủ hoặc kết quả thật. Schema canonical, enum và constraints cần được khóa tại M0.3.</t>
  </si>
  <si>
    <t>I/O ID</t>
  </si>
  <si>
    <t>Contract</t>
  </si>
  <si>
    <t>Producer</t>
  </si>
  <si>
    <t>Consumer</t>
  </si>
  <si>
    <t>Input fields</t>
  </si>
  <si>
    <t>Output fields</t>
  </si>
  <si>
    <t>Validation / failure</t>
  </si>
  <si>
    <t>Lưu ở đâu</t>
  </si>
  <si>
    <t>API / trạng thái hiện tại</t>
  </si>
  <si>
    <t>Ví dụ minh họa</t>
  </si>
  <si>
    <t>Nguồn</t>
  </si>
  <si>
    <t>IO-01</t>
  </si>
  <si>
    <t>ChatMessageRequest</t>
  </si>
  <si>
    <t>M0→M2</t>
  </si>
  <si>
    <t>Buyer UI</t>
  </si>
  <si>
    <t>message:string; conversation_id?:UUID; client_request_id:UUID; channel; product_ref?/order_ref?</t>
  </si>
  <si>
    <t>Authorized request context + normalized message + optional verified refs</t>
  </si>
  <si>
    <t>Identity/role lấy từ auth, không tin client; max length; idempotency; policy Q&amp;A cho phép thiếu product.</t>
  </si>
  <si>
    <t>PostgreSQL conversations/interactions; masked content; restricted identity mapping</t>
  </si>
  <si>
    <t>POST /api/v1/chat/messages — mới, không tái dùng FeedbackRecord có product_id bắt buộc</t>
  </si>
  <si>
    <t>{"conversation_id":"conv-demo-01","client_request_id":"req-demo-01","message":"Chính sách đổi trả thế nào?"}</t>
  </si>
  <si>
    <t>SRC-02 §5.4,7.9; SRC-16; đề xuất cho chatbot</t>
  </si>
  <si>
    <t>IO-02</t>
  </si>
  <si>
    <t>ChatMessageResponse</t>
  </si>
  <si>
    <t>MOD-01/03</t>
  </si>
  <si>
    <t>Authorized message + EvidencePack + bounded history</t>
  </si>
  <si>
    <t>conversation_id; message_id; answer; citations[]; status: answered|needs_clarification|needs_human_review|error; missing_fields[]; ticket_id?; trace_id</t>
  </si>
  <si>
    <t>Citations resolve thật; no-evidence không kết luận; timeout/error rõ; stream nếu dùng chỉ phát nội dung được kiểm theo policy.</t>
  </si>
  <si>
    <t>interactions, llm_generations, citations</t>
  </si>
  <si>
    <t>Response /api/v1/chat/messages; GET conversation/history — mới</t>
  </si>
  <si>
    <t>{"status":"needs_clarification","answer":"Bạn đang hỏi sản phẩm thuộc nhóm nào?","citations":[],"missing_fields":["product_category"],"trace_id":"trace-demo"}</t>
  </si>
  <si>
    <t>SRC-02 §7.9; SRC-04; đề xuất chatbot</t>
  </si>
  <si>
    <t>FeedbackRecord → IngestReceipt</t>
  </si>
  <si>
    <t>M1/M4</t>
  </si>
  <si>
    <t>Source adapter/chat event</t>
  </si>
  <si>
    <t>MOD-02→MOD-07</t>
  </si>
  <si>
    <t>source/source_record_id/text/language/created_at/product_id; product_version?/customer_ref?/order_ref?/rating?</t>
  </si>
  <si>
    <t>accepted/rejected/batch_id; durable record IDs; masked text; validation errors; processing status</t>
  </si>
  <si>
    <t>Dedup source+source_record_id; UTC timestamps; product missing phải quarantine/enrich, không invent; accepted chỉ sau persist/queue.</t>
  </si>
  <si>
    <t>Immutable ingest manifest + reviews/support_tickets + queue/DLQ</t>
  </si>
  <si>
    <t>POST /api/v1/ingest/feedback — schema có, handler hiện mock cần triển khai</t>
  </si>
  <si>
    <t>{"source":"ticket","source_record_id":"tk-demo-1","product_id":"demo-phone-x","text":"Pin yếu sau cập nhật","language":"vi","created_at":"2026-10-26T03:00:00Z"}</t>
  </si>
  <si>
    <t>SRC-06 §2; SRC-02 §7.1,9; SRC-16</t>
  </si>
  <si>
    <t>IO-04</t>
  </si>
  <si>
    <t>PolicyDocument / PolicyChunk</t>
  </si>
  <si>
    <t>M1→M2</t>
  </si>
  <si>
    <t>MOD-02; steward review</t>
  </si>
  <si>
    <t>MOD-04/06</t>
  </si>
  <si>
    <t>Raw source + URL/title/hash/crawled_at + verified applicability</t>
  </si>
  <si>
    <t>doc_id/chunk_id; policy_id/version/clause_id; clean text; source_url; offsets/heading; effective_from/to; scope; approval status; source_hash</t>
  </si>
  <si>
    <t>Không suy effective date từ crawl date; missing dates/status cần duyệt; chunk giữ ngoại lệ; only approved applicable policy searchable.</t>
  </si>
  <si>
    <t>Raw export; PostgreSQL registry; Qdrant policies derived index</t>
  </si>
  <si>
    <t>Policy ingestion pipeline; admin catalog/publish API — mới</t>
  </si>
  <si>
    <t>{"chunk_id":"demo-policy-v1-4.2","policy_id":"DEMO-WARRANTY","version":"1","clause_id":"4.2","status":"approved","synthetic":true}</t>
  </si>
  <si>
    <t>SRC-06 §4–5; SRC-02 §7.8</t>
  </si>
  <si>
    <t>RetrievalRequest → EvidencePack</t>
  </si>
  <si>
    <t>M2→M5/M6</t>
  </si>
  <si>
    <t>MOD-01/10</t>
  </si>
  <si>
    <t>MOD-04→MOD-03/08</t>
  </si>
  <si>
    <t>query; mode: policy|case|investigation|known_issue; authorized filters; top_k; as_of; index_version?</t>
  </si>
  <si>
    <t>hits[{source_type,source_id,chunk_id,score,snippet,url,timestamp,policy_version?,metadata}]; index_version; empty_reason?; stage_latency_ms</t>
  </si>
  <si>
    <t>Policy+review namespaces riêng; filters trước retrieval/rerank; paired aspect/sentiment; valid source IDs; distinguish score type.</t>
  </si>
  <si>
    <t>retrieval_sessions/results; Qdrant; source records</t>
  </si>
  <si>
    <t>POST /api/v1/retrieval/search — mới; internal service trong chat</t>
  </si>
  <si>
    <t>{"query":"đổi trả điện thoại","mode":"policy","filters":{"approval_status":"approved"},"top_k":5,"as_of":"2026-10-26"}</t>
  </si>
  <si>
    <t>AuthorizedOrderContext</t>
  </si>
  <si>
    <t>Auth + CRM/seed adapter</t>
  </si>
  <si>
    <t>MOD-05→MOD-06</t>
  </si>
  <si>
    <t>authenticated subject; verified order_ref; requested fields</t>
  </si>
  <si>
    <t>ownership_status; product/version; purchase_date; warranty_expires_at; region; order_status; source; missing_fields</t>
  </si>
  <si>
    <t>Verify ownership trước read; unknown khác not eligible; only minimized context vào LLM; seed source=demo.</t>
  </si>
  <si>
    <t>CRM source-of-truth; restricted SQL mapping/cache</t>
  </si>
  <si>
    <t>query_customer_order; customer context endpoint — mới</t>
  </si>
  <si>
    <t>{"order_ref":"DEMO-ORDER-01","ownership_status":"verified","source":"synthetic_seed","product_id":"demo-phone-x","missing_fields":[]}</t>
  </si>
  <si>
    <t>SRC-02 §3.1,7.2,8.2; SRC-06 §5.3</t>
  </si>
  <si>
    <t>PolicyDecision</t>
  </si>
  <si>
    <t>MOD-05 + approved registry</t>
  </si>
  <si>
    <t>MOD-06→MOD-03/11</t>
  </si>
  <si>
    <t>order context; product/version; issue attributes; evaluation time</t>
  </si>
  <si>
    <t>eligibility: eligible|ineligible|unknown; allowed_actions; prohibited_actions; missing_fields; policy_id/version/clause_id; review_required; reasons</t>
  </si>
  <si>
    <t>Deterministic rule evaluator; no stale policy; dates timezone consistent; financial exception review; conditions not evaluated by LLM.</t>
  </si>
  <si>
    <t>Policy registry + policy_decisions audit</t>
  </si>
  <si>
    <t>check_warranty_eligibility tool/internal API — mới</t>
  </si>
  <si>
    <t>{"eligibility":"unknown","allowed_actions":[],"missing_fields":["purchase_date"],"review_required":true,"reasons":["missing_order_context"]}</t>
  </si>
  <si>
    <t>SRC-02 §7.8; SRC-06 §5.2</t>
  </si>
  <si>
    <t>ResolutionDraftRequest/Response</t>
  </si>
  <si>
    <t>M3→M6</t>
  </si>
  <si>
    <t>MOD-01/11</t>
  </si>
  <si>
    <t>MOD-06 + MOD-03</t>
  </si>
  <si>
    <t>ticket_id; authorized context refs; product/version; issue_text_masked; mode; evidence + policy decision</t>
  </si>
  <si>
    <t>case_summary; recommended_response/actions; citations; needs_human_review/reason; triage?; known_issue/status?; policy_version; trace_id; versions</t>
  </si>
  <si>
    <t>Unconfirmed root cause, ambiguity, missing policy, expired/exception case → review; no arbitrary confidence claim; authorized actions subset of rule output.</t>
  </si>
  <si>
    <t>llm_generations + citations + resolution_actions + audit</t>
  </si>
  <si>
    <t>POST /api/v1/resolution/draft — tồn tại, cần bỏ response mock và mở rộng schema</t>
  </si>
  <si>
    <t>{"ticket_id":"tk-demo-1","recommended_actions":["route_to_support"],"needs_human_review":true,"reason_for_review":"unconfirmed_root_cause","citations":[]}</t>
  </si>
  <si>
    <t>SRC-02 §7.9,9.3; SRC-06 §6; SRC-16</t>
  </si>
  <si>
    <t>IO-09</t>
  </si>
  <si>
    <t>ReviewAction / ResolutionOutcome</t>
  </si>
  <si>
    <t>Agent/customer feedback</t>
  </si>
  <si>
    <t>MOD-06/11→MOD-09</t>
  </si>
  <si>
    <t>ticket_id/draft_id; approve|edit|reject|escalate; reason; final_response; request_id; outcome event</t>
  </si>
  <si>
    <t>persisted action_id; state; reviewer/time; sent/resolved/reopened; csat?; resolution_id; timestamps</t>
  </si>
  <si>
    <t>Actor from auth; idempotency; allowed state transitions; no final send before approval where required; outcome absent=unknown.</t>
  </si>
  <si>
    <t>interactions, resolution_actions, resolution_outcomes</t>
  </si>
  <si>
    <t>POST ticket review/outcome endpoints — mới; feedback/contribute dùng annotations</t>
  </si>
  <si>
    <t>{"ticket_id":"tk-demo-1","action":"reject","reason":"outdated_policy","request_id":"action-demo-1"}</t>
  </si>
  <si>
    <t>SRC-02 AG-AC-03..05; §8; SRC-03</t>
  </si>
  <si>
    <t>ABSA prediction</t>
  </si>
  <si>
    <t>MOD-02 + model/taxonomy</t>
  </si>
  <si>
    <t>MOD-07→MOD-04/09/11</t>
  </si>
  <si>
    <t>record_id; text_masked; language; model/taxonomy version; metadata</t>
  </si>
  <si>
    <t>aspects[{aspect,category,sentiment,confidence,evidence_span?}]; entities[]; inference_timestamp; versions; supported_language; status</t>
  </si>
  <si>
    <t>Evidence span optional only if supported by source labels/model; positive/neutral/negative; confidence calibrated/marked; preserve aspect-polarity pairing.</t>
  </si>
  <si>
    <t>absa_predictions keyed by record+model+taxonomy+timestamp; Qdrant derived payload</t>
  </si>
  <si>
    <t>POST /api/v1/absa/predict; batch worker; legacy /predict deprecated</t>
  </si>
  <si>
    <t>{"record_id":"rv-demo","model_version":"baseline-v1","taxonomy_version":"aspect-v1","aspects":[{"aspect":"design","sentiment":"positive"},{"aspect":"battery","sentiment":"negative"}]}</t>
  </si>
  <si>
    <t>SRC-02 §7.3; SRC-06 §3; SRC-07 ABSA</t>
  </si>
  <si>
    <t>Metric / cohort context</t>
  </si>
  <si>
    <t>MOD-10→MOD-04</t>
  </si>
  <si>
    <t>validated cohort filters; selected model/taxonomy; date_from/date_to</t>
  </si>
  <si>
    <t>metric_id; numerator/denominator/population_count; value; prior_value; delta_pp; model_version; freshness; lineage; filters</t>
  </si>
  <si>
    <t>Negative rate denominator = records mentioning selected aspect in cohort; empty denominator=no-data; not total Top-K; version dedup and timezone explicit.</t>
  </si>
  <si>
    <t>SQL aggregates/materialized views; analytics query logs</t>
  </si>
  <si>
    <t>GET /api/v1/analytics/... — mới; drill-down request context</t>
  </si>
  <si>
    <t>{"metric_id":"battery_negative_rate","numerator":39,"denominator":100,"value":0.39,"population_count":180,"synthetic":true}</t>
  </si>
  <si>
    <t>SRC-02 §7.4,3.4; SRC-04</t>
  </si>
  <si>
    <t>Investigation / GraphContext</t>
  </si>
  <si>
    <t>M5→M6</t>
  </si>
  <si>
    <t>Analyst cohort + MOD-04/08</t>
  </si>
  <si>
    <t>MOD-10/06</t>
  </si>
  <si>
    <t>query; full cohort filters/date range; top_k; entity/product/version refs</t>
  </si>
  <si>
    <t>summary; evidence; hypotheses[{status,evidence_ids}]; graph paths/entities; population; graph/index/policy versions; issue owner/lifecycle</t>
  </si>
  <si>
    <t>Keep exact filters; 5–10 representative cases if enough; uncertain cause labeled; all edges source linked; graph query bounded.</t>
  </si>
  <si>
    <t>retrieval_sessions; Neo4j; issue assignments; investigation audit</t>
  </si>
  <si>
    <t>POST /api/v1/investigation/drilldown — hiện thiếu query/filter richness, mở rộng tương thích</t>
  </si>
  <si>
    <t>{"issue_id":"DEMO-ISSUE-1","root_cause_status":"hypothesis","evidence_ids":["rv-demo"],"graph_version":"demo-g1"}</t>
  </si>
  <si>
    <t>SRC-02 §7.6–7.7,9.2; SRC-08; SRC-16</t>
  </si>
  <si>
    <t>Feedback / KnowledgeChange</t>
  </si>
  <si>
    <t>M3→M7</t>
  </si>
  <si>
    <t>Agent/analyst/steward</t>
  </si>
  <si>
    <t>MOD-11→MOD-07/08</t>
  </si>
  <si>
    <t>target_id/type; feedback_type; proposed change; evidence IDs; reason; source versions</t>
  </si>
  <si>
    <t>contribution_id; author/time; status; reviewer; approved payload; published knowledge/dataset version; conflict reason</t>
  </si>
  <si>
    <t>Auth-derived author; validate discriminated payload types; proposed→reviewed→approved/rejected→published; raw feedback never auto truth.</t>
  </si>
  <si>
    <t>annotations, model_feedback, knowledge_change_requests; versioned exports</t>
  </si>
  <si>
    <t>POST /api/v1/feedback/contribute — schema cần typed payload; steward review/publish API mới</t>
  </si>
  <si>
    <t>{"feedback_type":"absa_correction","target_id":"rv-demo","status":"proposed","corrected_aspects":[{"aspect":"battery","sentiment":"negative"}]}</t>
  </si>
  <si>
    <t>SRC-02 §7.10; SRC-06 §7; SRC-16</t>
  </si>
  <si>
    <t>Evaluation report</t>
  </si>
  <si>
    <t>M1–M8</t>
  </si>
  <si>
    <t>Frozen eval datasets + candidate outputs</t>
  </si>
  <si>
    <t>Gate reviewer/CI</t>
  </si>
  <si>
    <t>test dataset/version/split; candidate config/hash; hardware; predictions; rubric</t>
  </si>
  <si>
    <t>metric values; sample_count; per-query/case results; thresholds; PASS/FAIL/NOT_RUN; limitations; artifacts paths</t>
  </si>
  <si>
    <t>No tuning on test; all missing runs explicit; no benchmark claims from fixtures; each mode evaluated same corpus.</t>
  </si>
  <si>
    <t>artifacts/evaluation/&lt;run_id&gt;; docs/reports; manifest</t>
  </si>
  <si>
    <t>pipelines/eval_absa, eval_retrieval, eval_resolution; CI artifacts</t>
  </si>
  <si>
    <t>{"run_id":"TO_BE_GENERATED","metric":"macro_f1","value":null,"status":"NOT_RUN","dataset_version":"TO_BE_FROZEN"}</t>
  </si>
  <si>
    <t>SRC-02 §13,21; SRC-06; SRC-07</t>
  </si>
  <si>
    <t>Release / audit manifest</t>
  </si>
  <si>
    <t>Build/train/index/publish workflows</t>
  </si>
  <si>
    <t>Ops/steward/reviewer</t>
  </si>
  <si>
    <t>git SHA; config/lock; dataset/model/index/graph/policy/prompt revisions; eval artifacts</t>
  </si>
  <si>
    <t>immutable digest/hash map; environment; trace dimensions; reviewer/action; backup/rollback refs; cost/timing; status</t>
  </si>
  <si>
    <t>Same image staging→prod; app/model/knowledge rollback separate; secret/PII redacted; verified provenance.</t>
  </si>
  <si>
    <t>S3/local artifacts; audit DB; redacted traces/logs</t>
  </si>
  <si>
    <t>run-manifest.json; health live/ready/startup; observability</t>
  </si>
  <si>
    <t>{"git_sha":"TO_BE_BUILT","image_digest":"TO_BE_BUILT","model_version":"TO_BE_SELECTED","eval_status":"NOT_RUN","environment":"demo"}</t>
  </si>
  <si>
    <t>SRC-02 §14–16,21; SRC-15; SRC-07</t>
  </si>
  <si>
    <t>PROPOSAL → USER STORY → TASK → CONTRACT → GATE</t>
  </si>
  <si>
    <t>Bao phủ nghĩa là mọi nhóm yêu cầu đã được lập kế hoạch/ghi scope; không đồng nghĩa mọi mục đã triển khai hoặc đạt production. PM/KS acceptance IDs do kế hoạch đặt để truy vết.</t>
  </si>
  <si>
    <t>Requirement ID</t>
  </si>
  <si>
    <t>Yêu cầu</t>
  </si>
  <si>
    <t>Tasks</t>
  </si>
  <si>
    <t>I/O contracts</t>
  </si>
  <si>
    <t>Scope class</t>
  </si>
  <si>
    <t>Evidence cần có</t>
  </si>
  <si>
    <t>Trạng thái nghiệm thu</t>
  </si>
  <si>
    <t>BUY-AC-01</t>
  </si>
  <si>
    <t>Ticket lưu aspect/sentiment/entities và model version</t>
  </si>
  <si>
    <t>SRC-02 §3.1–3.3</t>
  </si>
  <si>
    <t>M4.1,M4.5,M4.7</t>
  </si>
  <si>
    <t>IO-03,IO-10</t>
  </si>
  <si>
    <t>Core demo</t>
  </si>
  <si>
    <t>Test/eval report + UI/API demo + audit/manifest</t>
  </si>
  <si>
    <t>PLANNED — chưa nghiệm thu</t>
  </si>
  <si>
    <t>BUY-AC-02</t>
  </si>
  <si>
    <t>Draft có policy ID/version phù hợp</t>
  </si>
  <si>
    <t>M1.3,M3.3,M3.4</t>
  </si>
  <si>
    <t>IO-07,IO-08</t>
  </si>
  <si>
    <t>BUY-AC-03</t>
  </si>
  <si>
    <t>Khẳng định root cause truy ngược tới evidence</t>
  </si>
  <si>
    <t>M6.3,M6.4,M6.8</t>
  </si>
  <si>
    <t>IO-05,IO-12</t>
  </si>
  <si>
    <t>BUY-AC-04</t>
  </si>
  <si>
    <t>Thiếu evidence/policy phải hỏi thêm hoặc review; không đoán</t>
  </si>
  <si>
    <t>M2.4,M2.8,M3.7,M6.4</t>
  </si>
  <si>
    <t>MOD-03,MOD-06</t>
  </si>
  <si>
    <t>IO-02,IO-08</t>
  </si>
  <si>
    <t>G2,G3,G6</t>
  </si>
  <si>
    <t>BUY-AC-05</t>
  </si>
  <si>
    <t>Resolved outcome gắn ticket/resolution</t>
  </si>
  <si>
    <t>M3.6,M7.5</t>
  </si>
  <si>
    <t>MOD-06,MOD-09</t>
  </si>
  <si>
    <t>G3,G7</t>
  </si>
  <si>
    <t>AG-AC-01</t>
  </si>
  <si>
    <t>Không hiển thị hypothesis như fact</t>
  </si>
  <si>
    <t>M3.5,M6.4,M6.5</t>
  </si>
  <si>
    <t>MOD-08,MOD-11</t>
  </si>
  <si>
    <t>IO-08,IO-12</t>
  </si>
  <si>
    <t>G3,G6</t>
  </si>
  <si>
    <t>AG-AC-02</t>
  </si>
  <si>
    <t>Policy có source/version/effective date</t>
  </si>
  <si>
    <t>M1.3,M3.3,M6.7</t>
  </si>
  <si>
    <t>IO-04,IO-07</t>
  </si>
  <si>
    <t>G1,G3,G6</t>
  </si>
  <si>
    <t>AG-AC-03</t>
  </si>
  <si>
    <t>Approve/edit/reject có lý do và feedback log</t>
  </si>
  <si>
    <t>M3.5,M3.6,M7.1</t>
  </si>
  <si>
    <t>IO-09,IO-13</t>
  </si>
  <si>
    <t>AG-AC-04</t>
  </si>
  <si>
    <t>Agent xem evidence gốc trước gửi</t>
  </si>
  <si>
    <t>M3.5,M3.7</t>
  </si>
  <si>
    <t>MOD-04,MOD-11</t>
  </si>
  <si>
    <t>IO-05,IO-08</t>
  </si>
  <si>
    <t>AG-AC-05</t>
  </si>
  <si>
    <t>Persist state/action/final response để tính MTTR/FCR/CSAT</t>
  </si>
  <si>
    <t>M3.6,M5.2,M8.7</t>
  </si>
  <si>
    <t>IO-09,IO-11</t>
  </si>
  <si>
    <t>G3,G5,G8</t>
  </si>
  <si>
    <t>AN-AC-01</t>
  </si>
  <si>
    <t>Dashboard truy ngược population và bản ghi được tính</t>
  </si>
  <si>
    <t>M4.5,M5.1,M5.4</t>
  </si>
  <si>
    <t>MOD-07,MOD-09</t>
  </si>
  <si>
    <t>IO-10,IO-11</t>
  </si>
  <si>
    <t>G4,G5</t>
  </si>
  <si>
    <t>AN-AC-02</t>
  </si>
  <si>
    <t>Investigation giữ nguyên filters từ dashboard</t>
  </si>
  <si>
    <t>M5.3,M5.4</t>
  </si>
  <si>
    <t>MOD-04,MOD-10</t>
  </si>
  <si>
    <t>IO-11,IO-12</t>
  </si>
  <si>
    <t>AN-AC-03</t>
  </si>
  <si>
    <t>Retrieval có source IDs và timestamp</t>
  </si>
  <si>
    <t>M2.1,M5.3</t>
  </si>
  <si>
    <t>G2,G5</t>
  </si>
  <si>
    <t>AN-AC-04</t>
  </si>
  <si>
    <t>Annotation có version/author/time</t>
  </si>
  <si>
    <t>M4.7,M6.5,M7.1</t>
  </si>
  <si>
    <t>G4,G6,G7</t>
  </si>
  <si>
    <t>AN-AC-05</t>
  </si>
  <si>
    <t>Graph update có approval/audit, không silent overwrite</t>
  </si>
  <si>
    <t>M6.6,M6.7</t>
  </si>
  <si>
    <t>IO-13,IO-15</t>
  </si>
  <si>
    <t>AN-AC-06</t>
  </si>
  <si>
    <t>Corrected ABSA labels export được sang train/eval</t>
  </si>
  <si>
    <t>M7.1,M7.2,M7.5</t>
  </si>
  <si>
    <t>MOD-07,MOD-11</t>
  </si>
  <si>
    <t>IO-10,IO-13</t>
  </si>
  <si>
    <t>PM-AC-01</t>
  </si>
  <si>
    <t>Population size và denominator theo SKU/hardware/firmware</t>
  </si>
  <si>
    <t>SRC-02 §3.4–3.5; SRC-05 §3–4 (ID PM/KS do kế hoạch đặt)</t>
  </si>
  <si>
    <t>M5.1,M5.2,M5.4</t>
  </si>
  <si>
    <t>MOD-09,MOD-10</t>
  </si>
  <si>
    <t>PM-AC-02</t>
  </si>
  <si>
    <t>Root-cause hypothesis/confirmed/rejected hiển thị rõ</t>
  </si>
  <si>
    <t>M6.1,M6.5</t>
  </si>
  <si>
    <t>MOD-08,MOD-10</t>
  </si>
  <si>
    <t>PM-AC-03</t>
  </si>
  <si>
    <t>Resolution success/reopen/recurrence/MTTR/FCR/CSAT/cost</t>
  </si>
  <si>
    <t>M3.6,M5.2,M7.5,M8.7</t>
  </si>
  <si>
    <t>G5,G7,G8</t>
  </si>
  <si>
    <t>PM-AC-04</t>
  </si>
  <si>
    <t>Mỗi issue có owner và lifecycle</t>
  </si>
  <si>
    <t>PM-AC-05</t>
  </si>
  <si>
    <t>Drill-down tôn trọng role và tối thiểu PII</t>
  </si>
  <si>
    <t>M5.2,M5.4,M8.5</t>
  </si>
  <si>
    <t>MOD-10,MOD-12</t>
  </si>
  <si>
    <t>G5,G8</t>
  </si>
  <si>
    <t>KS-AC-01</t>
  </si>
  <si>
    <t>Approve/reject graph changes theo quyền</t>
  </si>
  <si>
    <t>M6.6,M6.8</t>
  </si>
  <si>
    <t>KS-AC-02</t>
  </si>
  <si>
    <t>Retire outdated policy, invalidation và stale alerts</t>
  </si>
  <si>
    <t>M1.3,M6.6,M6.7</t>
  </si>
  <si>
    <t>MOD-06,MOD-08</t>
  </si>
  <si>
    <t>IO-04,IO-15</t>
  </si>
  <si>
    <t>KS-AC-03</t>
  </si>
  <si>
    <t>Resolve conflicting causes/annotations</t>
  </si>
  <si>
    <t>M6.6,M7.1</t>
  </si>
  <si>
    <t>G6,G7</t>
  </si>
  <si>
    <t>KS-AC-04</t>
  </si>
  <si>
    <t>Publish knowledge version và rollback</t>
  </si>
  <si>
    <t>M6.7,M8.5</t>
  </si>
  <si>
    <t>MOD-08,MOD-12</t>
  </si>
  <si>
    <t>G6,G8</t>
  </si>
  <si>
    <t>KS-AC-05</t>
  </si>
  <si>
    <t>Retention/deletion/access policy có owner</t>
  </si>
  <si>
    <t>M0.3,M7.4,M8.5</t>
  </si>
  <si>
    <t>G7,G8</t>
  </si>
  <si>
    <t>KS-AC-06</t>
  </si>
  <si>
    <t>Audit lineage từ ticket đến model/policy/graph/human approval</t>
  </si>
  <si>
    <t>M3.6,M6.7,M8.1</t>
  </si>
  <si>
    <t>G3,G6,G8</t>
  </si>
  <si>
    <t>Buyer complaint→verified order/policy→evidence→action→outcome</t>
  </si>
  <si>
    <t>SRC-03; SRC-05 §3; SRC-02 §3</t>
  </si>
  <si>
    <t>M2.8,M3.7,M4.7,M6.8,M8.6</t>
  </si>
  <si>
    <t>MOD-01,MOD-03,MOD-05,MOD-06,MOD-07,MOD-08</t>
  </si>
  <si>
    <t>IO-01,IO-08,IO-09</t>
  </si>
  <si>
    <t>US-AGENT-01</t>
  </si>
  <si>
    <t>Pre-triaged card, grounded draft, evidence, review/correction/escalation</t>
  </si>
  <si>
    <t>M3.5,M4.7,M6.8,M7.5,M8.6</t>
  </si>
  <si>
    <t>IO-08,IO-09,IO-13</t>
  </si>
  <si>
    <t>US-ANALYST-01</t>
  </si>
  <si>
    <t>Quant→filtered diverse evidence→hypothesis→approved knowledge→support reuse</t>
  </si>
  <si>
    <t>M5.4,M6.8,M7.5,M8.6</t>
  </si>
  <si>
    <t>MOD-04,MOD-08,MOD-09,MOD-10,MOD-11</t>
  </si>
  <si>
    <t>IO-11,IO-12,IO-13</t>
  </si>
  <si>
    <t>US-PM-01</t>
  </si>
  <si>
    <t>SKU/version defect trends, cause state, ownership và resolution effectiveness</t>
  </si>
  <si>
    <t>M5.2,M6.5,M8.6,M8.7</t>
  </si>
  <si>
    <t>MOD-08,MOD-09,MOD-10</t>
  </si>
  <si>
    <t>IO-09,IO-11,IO-12</t>
  </si>
  <si>
    <t>US-STEWARD-01</t>
  </si>
  <si>
    <t>Governed graph/policy changes, versions, conflict, access/retention và audit</t>
  </si>
  <si>
    <t>M6.6,M6.7,M7.4,M8.6</t>
  </si>
  <si>
    <t>MOD-06,MOD-08,MOD-11,MOD-12</t>
  </si>
  <si>
    <t>ARCH-L1</t>
  </si>
  <si>
    <t>Gateway: parse/PII/rate limit/semantic routing</t>
  </si>
  <si>
    <t>SRC-02 §5–22; SRC-05; SRC-06; SRC-07; SRC-09</t>
  </si>
  <si>
    <t>M1.2,M1.3,M4.5,M4.6</t>
  </si>
  <si>
    <t>MOD-02,MOD-12</t>
  </si>
  <si>
    <t>ARCH-L2</t>
  </si>
  <si>
    <t>Planning/FSM/bounded reflection và handoff</t>
  </si>
  <si>
    <t>M3.4,M3.7</t>
  </si>
  <si>
    <t>MOD-01,MOD-06</t>
  </si>
  <si>
    <t>ARCH-L3</t>
  </si>
  <si>
    <t>Working context; sliding buffer; episodic recall; semantic/procedural memory</t>
  </si>
  <si>
    <t>M0.3,M2.5,M3.2,M3.3,M6.3</t>
  </si>
  <si>
    <t>MOD-01,MOD-05,MOD-06,MOD-08</t>
  </si>
  <si>
    <t>IO-01,IO-06,IO-07</t>
  </si>
  <si>
    <t>ARCH-L4</t>
  </si>
  <si>
    <t>Dense/BM25/RRF/BGE + metadata + operational GraphRAG</t>
  </si>
  <si>
    <t>M2.1,M2.2,M2.3,M5.3,M6.3</t>
  </si>
  <si>
    <t>MOD-04,MOD-08</t>
  </si>
  <si>
    <t>G2,G6</t>
  </si>
  <si>
    <t>ARCH-L5</t>
  </si>
  <si>
    <t>Typed/function tools/MCP; authorized actions và task isolation</t>
  </si>
  <si>
    <t>M3.4,M3.8</t>
  </si>
  <si>
    <t>MOD-05,MOD-06,MOD-12</t>
  </si>
  <si>
    <t>IO-06,IO-07,IO-08</t>
  </si>
  <si>
    <t>ARCH-L6</t>
  </si>
  <si>
    <t>Claim/citation/schema/policy guard + output PII + abstention</t>
  </si>
  <si>
    <t>M2.4,M2.8,M3.7,M6.4,M8.5</t>
  </si>
  <si>
    <t>G2,G3,G8</t>
  </si>
  <si>
    <t>ARCH-L7</t>
  </si>
  <si>
    <t>OTel traces, tokens/cost, model/data drift và operational metrics</t>
  </si>
  <si>
    <t>M2.7,M7.3,M8.3</t>
  </si>
  <si>
    <t>MOD-09,MOD-12</t>
  </si>
  <si>
    <t>G2,G7,G8</t>
  </si>
  <si>
    <t>ARCH-PIPE-A</t>
  </si>
  <si>
    <t>Ingest→mask→ABSA 100% corpus→SQL→BI, async throughput</t>
  </si>
  <si>
    <t>M4.5,M5.1</t>
  </si>
  <si>
    <t>MOD-02,MOD-07,MOD-09</t>
  </si>
  <si>
    <t>IO-03,IO-10,IO-11</t>
  </si>
  <si>
    <t>ARCH-PIPE-B</t>
  </si>
  <si>
    <t>Query→filters→evidence→graph/policy→generation→guardrails</t>
  </si>
  <si>
    <t>M2.8,M3.4,M6.4</t>
  </si>
  <si>
    <t>MOD-01,MOD-03,MOD-04,MOD-06,MOD-08</t>
  </si>
  <si>
    <t>IO-01,IO-05,IO-08</t>
  </si>
  <si>
    <t>ARCH-BOUNDARY</t>
  </si>
  <si>
    <t>ABSA != retrieval; Top-K != statistics; GraphRAG operational; policy deterministic</t>
  </si>
  <si>
    <t>M0.3,M3.3,M4.5,M5.4,M6.1</t>
  </si>
  <si>
    <t>MOD-04,MOD-06,MOD-07,MOD-08,MOD-09</t>
  </si>
  <si>
    <t>IO-07,IO-10,IO-11</t>
  </si>
  <si>
    <t>API-CONTRACTS</t>
  </si>
  <si>
    <t>Canonical /api/v1 ingest/investigation/resolution/feedback plus chat/ABSA/retrieval</t>
  </si>
  <si>
    <t>M0.3,M2.5,M3.4,M4.5,M4.6,M5.3,M7.1</t>
  </si>
  <si>
    <t>IO-01,IO-03,IO-08,IO-10,IO-12,IO-13</t>
  </si>
  <si>
    <t>DATA-SOT</t>
  </si>
  <si>
    <t>CRM/raw events/predictions/policy/graph/final response/outcome source-of-truth boundaries</t>
  </si>
  <si>
    <t>M0.3,M1.1,M3.1,M3.6,M4.5,M6.7</t>
  </si>
  <si>
    <t>MOD-02,MOD-05,MOD-06,MOD-08</t>
  </si>
  <si>
    <t>IO-03,IO-04,IO-09,IO-15</t>
  </si>
  <si>
    <t>DATA-QUALITY</t>
  </si>
  <si>
    <t>Duplicate/missing/spam/language/date/schema/source checks; no hidden rejection</t>
  </si>
  <si>
    <t>M1.2,M4.5,M4.6</t>
  </si>
  <si>
    <t>DATA-PRIVACY</t>
  </si>
  <si>
    <t>Masked vector/prompt/log; resolution access tách analytics; cross-customer filters</t>
  </si>
  <si>
    <t>M1.3,M2.5,M3.2,M8.5</t>
  </si>
  <si>
    <t>MOD-02,MOD-05,MOD-12</t>
  </si>
  <si>
    <t>IO-01,IO-06,IO-15</t>
  </si>
  <si>
    <t>FEEDBACK-TYPES</t>
  </si>
  <si>
    <t>ABSA/retrieval/cause/policy-stale/resolution-outcome/draft/new-issue/duplicate feedback</t>
  </si>
  <si>
    <t>M3.5,M6.5,M6.6,M7.1</t>
  </si>
  <si>
    <t>GOVERNANCE</t>
  </si>
  <si>
    <t>Data ownership/license, review, retention/deletion, access and audit lineage</t>
  </si>
  <si>
    <t>M0.1,M4.1,M6.6,M7.4,M8.5</t>
  </si>
  <si>
    <t>OPS-RELEASE</t>
  </si>
  <si>
    <t>Build once; digest; staging→prod same artifact; independent model/app/knowledge rollback</t>
  </si>
  <si>
    <t>M6.7,M8.1,M8.5</t>
  </si>
  <si>
    <t>OPS-SCALING</t>
  </si>
  <si>
    <t>API/ABSA/retrieval/graph/LLM/jobs separate resource boundaries and scaling targets</t>
  </si>
  <si>
    <t>M0.3,M4.5,M8.2,M8.4</t>
  </si>
  <si>
    <t>Core bounded tests/design; sustained/live scale conditional</t>
  </si>
  <si>
    <t>OPS-SECURITY</t>
  </si>
  <si>
    <t>OIDC least privilege, per-service identity, secrets, non-root/read-only, network restrictions</t>
  </si>
  <si>
    <t>M8.2,M8.5</t>
  </si>
  <si>
    <t>OPS-RECOVERY</t>
  </si>
  <si>
    <t>Backup/rebuild index/restore/rollback; incident runbooks; dependency failure paths</t>
  </si>
  <si>
    <t>M2.7,M6.7,M8.4,M8.5,M8.8</t>
  </si>
  <si>
    <t>QA-TEST-PYRAMID</t>
  </si>
  <si>
    <t>Unit/contract/integration/eval/E2E/smoke/load; versioned AI gates</t>
  </si>
  <si>
    <t>M0.4,M2.8,M3.7,M4.4,M5.4,M6.8,M7.5,M8.1,M8.6</t>
  </si>
  <si>
    <t>QA-ABSA</t>
  </si>
  <si>
    <t>ATE/APC/category/calibration; macro/per-aspect/slices; no hallucinated aspect</t>
  </si>
  <si>
    <t>M4.1,M4.2,M4.3,M4.4</t>
  </si>
  <si>
    <t>IO-10,IO-14</t>
  </si>
  <si>
    <t>QA-RETRIEVAL</t>
  </si>
  <si>
    <t>BM25/dense/hybrid/rerank comparison, Recall/MRR/nDCG, filter correctness/diversity/index freshness</t>
  </si>
  <si>
    <t>M2.2,M2.3,M5.3,M6.8</t>
  </si>
  <si>
    <t>IO-05,IO-14</t>
  </si>
  <si>
    <t>QA-GRAPH</t>
  </si>
  <si>
    <t>Schema/entity integrity, orphan/duplicates, relation correctness, evidence, stale policy, approval</t>
  </si>
  <si>
    <t>M6.1,M6.2,M6.7,M6.8</t>
  </si>
  <si>
    <t>IO-12,IO-14</t>
  </si>
  <si>
    <t>QA-RESOLUTION</t>
  </si>
  <si>
    <t>Groundedness/citation precision/completeness, policy correctness, unsupported action, abstention</t>
  </si>
  <si>
    <t>M2.8,M3.7,M6.8,M8.6</t>
  </si>
  <si>
    <t>IO-08,IO-14</t>
  </si>
  <si>
    <t>QA-NFR</t>
  </si>
  <si>
    <t>Latency/p95/p99/throughput/availability/freshness/scaling/error/reliability/cost</t>
  </si>
  <si>
    <t>M2.7,M7.3,M8.3,M8.4</t>
  </si>
  <si>
    <t>QA-BUSINESS</t>
  </si>
  <si>
    <t>FRT/AHT/MTTR/FCR/CSAT/reopen/escalation/recurrence/cost/acceptance; baseline and sample size</t>
  </si>
  <si>
    <t>M0.4,M3.6,M5.2,M8.7</t>
  </si>
  <si>
    <t>Core instrumentation; real impact conditional</t>
  </si>
  <si>
    <t>HANDOVER</t>
  </si>
  <si>
    <t>User stories demonstrated; AI eval; knowledge/governance; release/runbooks; defense narrative</t>
  </si>
  <si>
    <t>M8.6,M8.8</t>
  </si>
  <si>
    <t>IO-14,IO-15</t>
  </si>
  <si>
    <t>ABSA-AC-01</t>
  </si>
  <si>
    <t>Multi-aspect contrasting review correct</t>
  </si>
  <si>
    <t>SRC-07 ABSA acceptance</t>
  </si>
  <si>
    <t>M4.2,M4.7</t>
  </si>
  <si>
    <t>MOD-07,MOD-12</t>
  </si>
  <si>
    <t>G4,G8</t>
  </si>
  <si>
    <t>ABSA-AC-02</t>
  </si>
  <si>
    <t>Output schema/version/record ID</t>
  </si>
  <si>
    <t>M4.2,M4.5</t>
  </si>
  <si>
    <t>ABSA-AC-03</t>
  </si>
  <si>
    <t>Không bịa aspect; none/other behavior</t>
  </si>
  <si>
    <t>ABSA-AC-04</t>
  </si>
  <si>
    <t>Validation lỗi có cấu trúc</t>
  </si>
  <si>
    <t>ABSA-AC-05</t>
  </si>
  <si>
    <t>Macro-F1 floor theo release</t>
  </si>
  <si>
    <t>ABSA-AC-06</t>
  </si>
  <si>
    <t>Critical aspect F1 floor</t>
  </si>
  <si>
    <t>ABSA-AC-07</t>
  </si>
  <si>
    <t>Inference p95 trên hardware pin</t>
  </si>
  <si>
    <t>M4.4,M8.4</t>
  </si>
  <si>
    <t>ABSA-AC-08</t>
  </si>
  <si>
    <t>PII trong logs được mask</t>
  </si>
  <si>
    <t>M1.3,M8.5</t>
  </si>
  <si>
    <t>ABSA-AC-09</t>
  </si>
  <si>
    <t>Truy vết hai model versions</t>
  </si>
  <si>
    <t>ABSA-AC-10</t>
  </si>
  <si>
    <t>Unsupported language rõ</t>
  </si>
  <si>
    <t>M4.2,M4.6</t>
  </si>
  <si>
    <t>RET-AC-01</t>
  </si>
  <si>
    <t>Ranked hits/schema/index version</t>
  </si>
  <si>
    <t>SRC-07 Retrieval acceptance</t>
  </si>
  <si>
    <t>MOD-04,MOD-12</t>
  </si>
  <si>
    <t>G2,G5,G8</t>
  </si>
  <si>
    <t>RET-AC-02</t>
  </si>
  <si>
    <t>Exact filter correctness</t>
  </si>
  <si>
    <t>RET-AC-03</t>
  </si>
  <si>
    <t>Recall@10 baseline threshold</t>
  </si>
  <si>
    <t>M2.2,M5.3</t>
  </si>
  <si>
    <t>RET-AC-04</t>
  </si>
  <si>
    <t>nDCG@10 graded relevance</t>
  </si>
  <si>
    <t>RET-AC-05</t>
  </si>
  <si>
    <t>Source ID resolves</t>
  </si>
  <si>
    <t>M2.1,M6.8</t>
  </si>
  <si>
    <t>RET-AC-06</t>
  </si>
  <si>
    <t>Empty evidence supported</t>
  </si>
  <si>
    <t>RET-AC-07</t>
  </si>
  <si>
    <t>Search p95 bounded corpus</t>
  </si>
  <si>
    <t>RET-AC-08</t>
  </si>
  <si>
    <t>Reranker enable only measured gain</t>
  </si>
  <si>
    <t>RET-AC-09</t>
  </si>
  <si>
    <t>Index/data/embedding lineage</t>
  </si>
  <si>
    <t>M2.1,M6.7</t>
  </si>
  <si>
    <t>RET-AC-10</t>
  </si>
  <si>
    <t>Regression gate before index promotion</t>
  </si>
  <si>
    <t>RET-AC-11</t>
  </si>
  <si>
    <t>PII/sensitive query logs redacted</t>
  </si>
  <si>
    <t>RET-AC-12</t>
  </si>
  <si>
    <t>Readiness during rebuild/unavailable</t>
  </si>
  <si>
    <t>M2.1,M2.7</t>
  </si>
  <si>
    <t>EXT-01</t>
  </si>
  <si>
    <t>Global GraphRAG / DRIFT-like query</t>
  </si>
  <si>
    <t>SRC-02 §7.7B,18 Phase5</t>
  </si>
  <si>
    <t>Deferred sau W14</t>
  </si>
  <si>
    <t>Implement bounded experiment; quality/cost report; chỉ promote nếu gain; Không cần cho 5 demo stories local entity-centered</t>
  </si>
  <si>
    <t>EXT-02</t>
  </si>
  <si>
    <t>Autonomous multi-step actions / proactive outreach</t>
  </si>
  <si>
    <t>SRC-02 §18 Phase5</t>
  </si>
  <si>
    <t>Controlled action integration + verified delivery/outcome; Chatbot M3 có tools/approval; tự động hoàn tiền/liên hệ chủ động chưa triển khai</t>
  </si>
  <si>
    <t>EXT-03</t>
  </si>
  <si>
    <t>MicroVM isolation</t>
  </si>
  <si>
    <t>SRC-05 L5; SRC-01</t>
  </si>
  <si>
    <t>M3.8,M6.9</t>
  </si>
  <si>
    <t>Conditional extension</t>
  </si>
  <si>
    <t>MicroVM proof-of-concept và threat/resource tests; 14 tuần dùng allowlisted typed tools + task/container isolation; không gọi đây là microVM</t>
  </si>
  <si>
    <t>EXT-04</t>
  </si>
  <si>
    <t>ASTE/ACOS / English expansion / alternative encoder roster</t>
  </si>
  <si>
    <t>SRC-02 §7.3; SRC-07 ABSA</t>
  </si>
  <si>
    <t>M4.1,M6.9</t>
  </si>
  <si>
    <t>Candidate comparisons, slices và model card; MVP tiếng Việt; ATE chỉ nếu nhãn phù hợp; multi-language unsupported path vẫn có</t>
  </si>
  <si>
    <t>EXT-05</t>
  </si>
  <si>
    <t>Live production EKS, HA/GPU autoscaling, availability validation</t>
  </si>
  <si>
    <t>SRC-02 §14–16; SRC-07 NFR</t>
  </si>
  <si>
    <t>M8.2,M8.3,M8.4,M8.5</t>
  </si>
  <si>
    <t>Conditional resource + sau demo</t>
  </si>
  <si>
    <t>Live deploy evidence; sustained SLO; scaling/restore; audited prod approval; IaC minimal + local demo có trong core; live target chưa có evidence không được đóng</t>
  </si>
  <si>
    <t>EXT-06</t>
  </si>
  <si>
    <t>Real CRM/commerce connectors và real business pilot</t>
  </si>
  <si>
    <t>SRC-02 §7.1,8.2,13.5; SRC-03</t>
  </si>
  <si>
    <t>M3.2,M8.7</t>
  </si>
  <si>
    <t>Conditional data access</t>
  </si>
  <si>
    <t>Live connector integration, real AHT/FCR/CSAT study; 14 tuần synthetic adapters + instrumentation; KPI business NOT VALIDATED nếu thiếu pilot</t>
  </si>
  <si>
    <t>EXT-07</t>
  </si>
  <si>
    <t>Multimodal parsers / call transcripts / more channels</t>
  </si>
  <si>
    <t>SRC-05 L1; SRC-02 §7.1</t>
  </si>
  <si>
    <t>M0.1,M6.9</t>
  </si>
  <si>
    <t>Deferred theo data need</t>
  </si>
  <si>
    <t>Connector/parser schemas, permission and extraction quality report; Không tự thêm kiosk ASR/TTS từ research lịch sử vào core</t>
  </si>
  <si>
    <t>EXT-08</t>
  </si>
  <si>
    <t>Dedicated annotation platform / large-scale active learning</t>
  </si>
  <si>
    <t>SRC-02 §10.5,7.10; SRC-07</t>
  </si>
  <si>
    <t>M7.1,M7.2</t>
  </si>
  <si>
    <t>Argilla/alternative ADR và migration có evidence; Core giữ workspace/approval/export và một retrain cycle; không bắt cài mọi tool được tham khảo</t>
  </si>
  <si>
    <t>ACCEPTANCE GATES | đo thế nào, bằng chứng nào</t>
  </si>
  <si>
    <t>Các chỉ tiêu là target/giả định từ tài liệu hoặc đề xuất, chưa được đo trong lượt lập kế hoạch. Gate fail không được đóng do hết thời gian; NOT RUN không phải PASS.</t>
  </si>
  <si>
    <t>Gate / Metric</t>
  </si>
  <si>
    <t>Nội dung</t>
  </si>
  <si>
    <t>Ngưỡng / tiêu chí</t>
  </si>
  <si>
    <t>Phương pháp đo</t>
  </si>
  <si>
    <t>Bằng chứng</t>
  </si>
  <si>
    <t>Loại chỉ tiêu</t>
  </si>
  <si>
    <t>Giới hạn / lưu ý</t>
  </si>
  <si>
    <t>Kết quả hiện tại</t>
  </si>
  <si>
    <t>Review all preceding phase tasks + demo + regression + source coverage</t>
  </si>
  <si>
    <t>Gate bàn giao</t>
  </si>
  <si>
    <t>Một người tự review theo checklist; external acceptance cần người được ủy quyền nếu áp dụng.</t>
  </si>
  <si>
    <t>NOT RUN</t>
  </si>
  <si>
    <t>Q-01</t>
  </si>
  <si>
    <t>Chatbot policy QA rubric</t>
  </si>
  <si>
    <t>M2/M8</t>
  </si>
  <si>
    <t>≥90% trên held-out policy QA (đề xuất MVP)</t>
  </si>
  <si>
    <t>Human rubric correctness/relevance/helpfulness; report n and failure reasons</t>
  </si>
  <si>
    <t>chatbot_mvp_eval report</t>
  </si>
  <si>
    <t>Đề xuất mới cho G2</t>
  </si>
  <si>
    <t>Đề xuất cần khóa G0</t>
  </si>
  <si>
    <t>Chưa đo; không phải kết quả hiện tại</t>
  </si>
  <si>
    <t>Q-02</t>
  </si>
  <si>
    <t>Citation completeness/precision</t>
  </si>
  <si>
    <t>M2/M3/M6/M8</t>
  </si>
  <si>
    <t>Completeness chung ≥95%; 100% policy/action claim có citation; báo precision riêng</t>
  </si>
  <si>
    <t>Claim-level annotated rubric + source resolver; valid URL alone không chứng minh entailment</t>
  </si>
  <si>
    <t>citation evaluation</t>
  </si>
  <si>
    <t>SRC-05 §9; SRC-04; DEC-04</t>
  </si>
  <si>
    <t>Target tài liệu</t>
  </si>
  <si>
    <t>Q-03</t>
  </si>
  <si>
    <t>Unsupported policy/refund/action</t>
  </si>
  <si>
    <t>M3/M6/M8</t>
  </si>
  <si>
    <t>0 unsupported policy/refund commitments trên critical suite; báo generic rate riêng</t>
  </si>
  <si>
    <t>≥50 resolution cases; invalid eligibility/expired/unconfirmed/injection</t>
  </si>
  <si>
    <t>resolution_eval report</t>
  </si>
  <si>
    <t>SRC-04; SRC-06 §6; DEC-04</t>
  </si>
  <si>
    <t>Q-04</t>
  </si>
  <si>
    <t>PII and customer isolation</t>
  </si>
  <si>
    <t>M1/M2/M3/M8</t>
  </si>
  <si>
    <t>0 raw leaks/unauthorized accesses trên suite; phone/email recall=100% trên labeled fixtures</t>
  </si>
  <si>
    <t>≥500 synthetic/redaction fixtures; inspect prompts/index/logs; cross-customer/role tests</t>
  </si>
  <si>
    <t>privacy/access report</t>
  </si>
  <si>
    <t>SRC-06 §2; SRC-04</t>
  </si>
  <si>
    <t>Suite pass không bảo đảm mọi đầu vào production; name/address slices và limits phải báo.</t>
  </si>
  <si>
    <t>Q-05</t>
  </si>
  <si>
    <t>FRT and response latency</t>
  </si>
  <si>
    <t>Standard full-response cases &lt;60s; &lt;30s stretch; báo TTFT/p95/p99 riêng</t>
  </si>
  <si>
    <t>Warm/cold, hardware/corpus/concurrency pin; useful response time vs full response defined</t>
  </si>
  <si>
    <t>latency report</t>
  </si>
  <si>
    <t>SRC-03; SRC-04; SRC-05 §5.2; DEC-03</t>
  </si>
  <si>
    <t>Q-06</t>
  </si>
  <si>
    <t>Retrieval quality</t>
  </si>
  <si>
    <t>M2 baseline/M5/M6 final</t>
  </si>
  <si>
    <t>Recall@5 ≥.88; MRR ≥.82; Recall@10 ≥.85; nDCG@10 ≥.75</t>
  </si>
  <si>
    <t>≥100 golden queries final, separate policy/review/graph slices; paired modes/corpus; count queries and relevance grading</t>
  </si>
  <si>
    <t>retrieval benchmark matrix</t>
  </si>
  <si>
    <t>SRC-05 §9; SRC-06 §4</t>
  </si>
  <si>
    <t>M2 40-query baseline chưa đại diện final corpus; threshold shortfall=FAIL/limited demo, không claim achieved.</t>
  </si>
  <si>
    <t>Q-07</t>
  </si>
  <si>
    <t>Filter correctness/source integrity</t>
  </si>
  <si>
    <t>M2/M5/M6</t>
  </si>
  <si>
    <t>100% authorized filter correctness and source ID resolution on tests</t>
  </si>
  <si>
    <t>Test date/product/version/aspect-polarity/tenant/approved policy; missing docs and empty cohort</t>
  </si>
  <si>
    <t>filter/source report</t>
  </si>
  <si>
    <t>SRC-06 §4; SRC-07 RET-AC</t>
  </si>
  <si>
    <t>Q-08</t>
  </si>
  <si>
    <t>ABSA classification</t>
  </si>
  <si>
    <t>M4/M8</t>
  </si>
  <si>
    <t>MVP floor Macro-F1 ≥.80; target ≥.85; critical per-aspect F1 ≥.75</t>
  </si>
  <si>
    <t>Fixed test split; baseline vs candidate; macro/per-aspect confusion/slices; state class averaging explicitly</t>
  </si>
  <si>
    <t>ABSA eval + model card</t>
  </si>
  <si>
    <t>SRC-06 §3; SRC-04; DEC-05</t>
  </si>
  <si>
    <t>Q-09</t>
  </si>
  <si>
    <t>ATE/entity/calibration</t>
  </si>
  <si>
    <t>Báo span extraction F1, entities và ECE; floor khóa G0 sau label inventory</t>
  </si>
  <si>
    <t>ATE chỉ trên span labels; polarity metric riêng; calibration fitted dev; report slang/negation/emoji slices</t>
  </si>
  <si>
    <t>span/calibration report</t>
  </si>
  <si>
    <t>SRC-02 §13.1; SRC-06 §3; SRC-07</t>
  </si>
  <si>
    <t>Target cần dữ liệu</t>
  </si>
  <si>
    <t>Không đánh đồng F1 category/polarity với span extraction; thiếu span test=NOT VALIDATED.</t>
  </si>
  <si>
    <t>Q-10</t>
  </si>
  <si>
    <t>Corpus and BI lineage</t>
  </si>
  <si>
    <t>M4/M5</t>
  </si>
  <si>
    <t>100% eligible ingested records accounted; processed/pending/failed tổng khớp accepted</t>
  </si>
  <si>
    <t>SQL counts independent; one selected model per record; denominator integrity; no top-k aggregation</t>
  </si>
  <si>
    <t>coverage/analytics report</t>
  </si>
  <si>
    <t>SRC-04; SRC-02 AN-AC-01</t>
  </si>
  <si>
    <t>Q-11</t>
  </si>
  <si>
    <t>Representative drill-down</t>
  </si>
  <si>
    <t>M5/M6</t>
  </si>
  <si>
    <t>5–10 diverse cases nếu cohort đủ; keep all filters</t>
  </si>
  <si>
    <t>Duplicate/source diversity checks; direct SQL filter parity; report when fewer results exist</t>
  </si>
  <si>
    <t>investigation eval</t>
  </si>
  <si>
    <t>SRC-04; SRC-02 AN-AC-02..03</t>
  </si>
  <si>
    <t>Q-12</t>
  </si>
  <si>
    <t>Graph/knowledge governance</t>
  </si>
  <si>
    <t>M6/M7</t>
  </si>
  <si>
    <t>100% published mutations approved/audited; zero illegal state transitions or invalid relations in suite</t>
  </si>
  <si>
    <t>Constraints/orphan/duplicate checks; denied mutation/rollback; source coverage; domain-specific cycle rules</t>
  </si>
  <si>
    <t>graph eval + approval audit</t>
  </si>
  <si>
    <t>SRC-05 §4; SRC-02 §13.3; DEC-06</t>
  </si>
  <si>
    <t>Q-13</t>
  </si>
  <si>
    <t>Anomaly/knowledge freshness</t>
  </si>
  <si>
    <t>M5/M6/M8</t>
  </si>
  <si>
    <t>Alert precision ≥90%; drift detection &lt;24h; knowledge freshness &lt;24h (targets)</t>
  </si>
  <si>
    <t>Labeled anomaly replay + measured schedules; real observed window needed; published version timestamps</t>
  </si>
  <si>
    <t>alert/freshness report</t>
  </si>
  <si>
    <t>SRC-05 §4</t>
  </si>
  <si>
    <t>Synthetic replay pass không đủ chứng minh production detection SLA.</t>
  </si>
  <si>
    <t>Q-14</t>
  </si>
  <si>
    <t>Root-cause investigation speed</t>
  </si>
  <si>
    <t>M6/M8</t>
  </si>
  <si>
    <t>Investigation time &lt;2h; emerging issue detection 24–48h (different clocks)</t>
  </si>
  <si>
    <t>Start alert→analyst conclusion; issue first event→detection; require reviewers/sample cases</t>
  </si>
  <si>
    <t>investigation timing report</t>
  </si>
  <si>
    <t>SRC-05 §4; SRC-03</t>
  </si>
  <si>
    <t>Không nhập hai định nghĩa thời gian thành một; self-run demo ghi rõ.</t>
  </si>
  <si>
    <t>Q-15</t>
  </si>
  <si>
    <t>Business impact</t>
  </si>
  <si>
    <t>M8 / live pilot</t>
  </si>
  <si>
    <t>AHT reduction ≥40%; FCR improvement ≥15%; draft acceptance ≥80%; track MTTR/CSAT/reopen/cost</t>
  </si>
  <si>
    <t>Manual vs assisted comparable cohorts; define relative FCR change; n/time window/confounds; real customer pilot separate</t>
  </si>
  <si>
    <t>business KPI report</t>
  </si>
  <si>
    <t>SRC-03; SRC-05 §4,9; SRC-06 §7</t>
  </si>
  <si>
    <t>Target business cần pilot</t>
  </si>
  <si>
    <t>Không có real pilot → NOT VALIDATED; demo synthetic chỉ kiểm công thức/instrumentation.</t>
  </si>
  <si>
    <t>Q-16</t>
  </si>
  <si>
    <t>Latency, availability and scale</t>
  </si>
  <si>
    <t>ABSA p95 ≤300ms; search no-rerank p95 ≤250ms; pipeline &lt;2s; availability 99.5–99.9% là target cần chốt</t>
  </si>
  <si>
    <t>Freeze hardware/corpus/concurrency/cold-warm; 1x/3x/10x bounded load; separate measured test and long-term uptime</t>
  </si>
  <si>
    <t>performance/limits report</t>
  </si>
  <si>
    <t>SRC-07 NFR; SRC-05 §5.2</t>
  </si>
  <si>
    <t>Giả định planning trong nguồn</t>
  </si>
  <si>
    <t>Không kiểm chứng sustained availability trong short load test; cần observation window và resource budget.</t>
  </si>
  <si>
    <t>Q-17</t>
  </si>
  <si>
    <t>Release reproducibility and recovery</t>
  </si>
  <si>
    <t>Same artifact digest; all versions attached; app/model/index/knowledge rollback demonstrated</t>
  </si>
  <si>
    <t>Fresh deploy, smoke tests, restore/rebuild and rollback drill; record recovery time/RPO/RTO chosen at G0</t>
  </si>
  <si>
    <t>release manifest + recovery report</t>
  </si>
  <si>
    <t>SRC-02 §15–16,21; SRC-15</t>
  </si>
  <si>
    <t>Q-18</t>
  </si>
  <si>
    <t>Full user-story acceptance</t>
  </si>
  <si>
    <t>5 role flows demo pass; all core acceptance IDs evidence; conditional/deferred explicit</t>
  </si>
  <si>
    <t>Browser/API E2E; role matrix; scenario firmware; coverage lookup and reports</t>
  </si>
  <si>
    <t>UAT recordings + acceptance matrix</t>
  </si>
  <si>
    <t>Demo completion không tự đóng live cloud/real business impact/advanced extension gates.</t>
  </si>
  <si>
    <t>DATA PLAN | dữ liệu cần chuẩn bị cho từng giai đoạn</t>
  </si>
  <si>
    <t>Kích thước là mục tiêu demo/spec, không là số lượng đã có. Training/eval data có provenance, quyền sử dụng và split/version riêng; synthetic data phải được đánh dấu.</t>
  </si>
  <si>
    <t>Dataset ID</t>
  </si>
  <si>
    <t>Dữ liệu</t>
  </si>
  <si>
    <t>Kích thước / phạm vi</t>
  </si>
  <si>
    <t>Artifact đầu ra</t>
  </si>
  <si>
    <t>Kiểm chất lượng / governance</t>
  </si>
  <si>
    <t>Tasks / I/O</t>
  </si>
  <si>
    <t>DATA-01</t>
  </si>
  <si>
    <t>Policy raw → clean → chunks</t>
  </si>
  <si>
    <t>Data_crawling exports; public/source-approved docs</t>
  </si>
  <si>
    <t>Kiểm kê toàn bộ; demo 5–10 policy/~30 clauses</t>
  </si>
  <si>
    <t>Raw manifest + clean JSONL + approved chunks</t>
  </si>
  <si>
    <t>URL/title/hash/crawl time; verified effective dates; duplicate/empty checks; manual clause review</t>
  </si>
  <si>
    <t>M1.1–M1.3; IO-04</t>
  </si>
  <si>
    <t>SRC-06 §5,8; SRC-10..13</t>
  </si>
  <si>
    <t>DATA-02</t>
  </si>
  <si>
    <t>Policy golden queries &amp; chat dialogues</t>
  </si>
  <si>
    <t>Tự soạn từ policy đã duyệt</t>
  </si>
  <si>
    <t>40 queries; 20 dialogues nhiều lượt (đề xuất MVP)</t>
  </si>
  <si>
    <t>golden_policy_queries.jsonl; chat_eval.jsonl</t>
  </si>
  <si>
    <t>Dev/test tách theo document/intent; expected sources, no-answer, follow-up, expired/conflict; human rubric</t>
  </si>
  <si>
    <t>M1.4; M2.2; M2.8</t>
  </si>
  <si>
    <t>SRC-06 §4,6; đề xuất MVP</t>
  </si>
  <si>
    <t>DATA-03</t>
  </si>
  <si>
    <t>PII evaluation</t>
  </si>
  <si>
    <t>M1→M8</t>
  </si>
  <si>
    <t>Synthetic tiếng Việt/Anh + review thủ công</t>
  </si>
  <si>
    <t>500–1,000 cases theo data spec; tối thiểu 500 demo</t>
  </si>
  <si>
    <t>pii_eval.jsonl; spans + expected_masked_text</t>
  </si>
  <si>
    <t>Phone/email/person/address/order refs; 0 leaks trong suite; synthetic pass không là bảo đảm tổng quát</t>
  </si>
  <si>
    <t>M1.4; M3.7; M8.5</t>
  </si>
  <si>
    <t>SRC-06 §2.2</t>
  </si>
  <si>
    <t>DATA-04</t>
  </si>
  <si>
    <t>Products/orders/customers</t>
  </si>
  <si>
    <t>Synthetic seed có nguồn rõ; live CRM nếu được cấp</t>
  </si>
  <si>
    <t>5–10 products; ~15 versions; 200 customer/order records</t>
  </si>
  <si>
    <t>products_and_orders.json + SQL seed</t>
  </si>
  <si>
    <t>No real PII; FK/ownership/boundary dates; seed source không nhầm production</t>
  </si>
  <si>
    <t>M3.1–M3.2; IO-06</t>
  </si>
  <si>
    <t>SRC-06 §5.3,8</t>
  </si>
  <si>
    <t>DATA-05</t>
  </si>
  <si>
    <t>Structured policies</t>
  </si>
  <si>
    <t>M1 catalog→M3 rules</t>
  </si>
  <si>
    <t>Approved policy document + manual rule transcription</t>
  </si>
  <si>
    <t>5–10 versioned policies; ~30 clauses</t>
  </si>
  <si>
    <t>policies.json + registry</t>
  </si>
  <si>
    <t>Effective dates/scope/conditions/allowed actions có reviewer; sample 365-day warranty chỉ là fixture</t>
  </si>
  <si>
    <t>M1.3; M3.3; IO-07</t>
  </si>
  <si>
    <t>SRC-06 §5.2,8</t>
  </si>
  <si>
    <t>DATA-06</t>
  </si>
  <si>
    <t>ABSA benchmark/domain extension</t>
  </si>
  <si>
    <t>UIT-ViSFD; UIT-ViSD4SA; domain data được phép</t>
  </si>
  <si>
    <t>Doc nêu 11,122 reviews; xác minh count và official splits; domain bổ sung tùy nhãn</t>
  </si>
  <si>
    <t>train/dev/test.parquet; taxonomy yaml; data card</t>
  </si>
  <si>
    <t>Giữ splits nguồn; không tái chia 70/10/20 nếu đã có official split; kiểm quyền; span labels cần riêng; holdout locked</t>
  </si>
  <si>
    <t>M4.1–M4.4; IO-10</t>
  </si>
  <si>
    <t>SRC-06 §3; SRC-07 ABSA</t>
  </si>
  <si>
    <t>DATA-07</t>
  </si>
  <si>
    <t>Semantic router</t>
  </si>
  <si>
    <t>Synthetic templates + manually reviewed sample; real data khi có quyền</t>
  </si>
  <si>
    <t>1,500–3,000 texts theo spec; MVP 1,500 synthetic/curated</t>
  </si>
  <si>
    <t>router_train/dev/test.jsonl; rubric</t>
  </si>
  <si>
    <t>macro_review/complaint_ticket/out_of_scope; policy_query map rõ; tránh template overlap test; report synthetic bias</t>
  </si>
  <si>
    <t>SRC-06 §2.2; DEC-09</t>
  </si>
  <si>
    <t>DATA-08</t>
  </si>
  <si>
    <t>Review/graph golden retrieval queries</t>
  </si>
  <si>
    <t>Corpus đã mask + graph fixtures</t>
  </si>
  <si>
    <t>+40 review queries M5; +20 graph/known-issue M6; tổng ≥100</t>
  </si>
  <si>
    <t>golden_queries.jsonl + graded relevance</t>
  </si>
  <si>
    <t>Mỗi source slice riêng; benchmark dense/BM25/hybrid/reranker; no mixing policy Recall with review Recall</t>
  </si>
  <si>
    <t>M5.3; M6.8; IO-14</t>
  </si>
  <si>
    <t>SRC-06 §4.3,8</t>
  </si>
  <si>
    <t>DATA-09</t>
  </si>
  <si>
    <t>Resolution safety scenarios</t>
  </si>
  <si>
    <t>Synthetic verified orders + policies + graph states</t>
  </si>
  <si>
    <t>30 cases M3; +20 M6; tổng ≥50 (spec 50–100)</t>
  </si>
  <si>
    <t>resolution_eval.jsonl</t>
  </si>
  <si>
    <t>Trong hạn, hết hạn, unconfirmed, injection; bổ sung missing/foreign order, retired policy, action retry; expected approval/actions/citations</t>
  </si>
  <si>
    <t>M3.7; M6.8</t>
  </si>
  <si>
    <t>SRC-06 §6.2,8</t>
  </si>
  <si>
    <t>DATA-10</t>
  </si>
  <si>
    <t>Graph seed</t>
  </si>
  <si>
    <t>Curated synthetic known issues + product/policy/evidence IDs</t>
  </si>
  <si>
    <t>~15 symptoms; 10 causes; 10 resolutions; 5 centers; bounded graph</t>
  </si>
  <si>
    <t>neo4j_ontology_seed.json; schema/version manifest</t>
  </si>
  <si>
    <t>Confirmed có evidence/approval; Issue/Firmware/Team bổ sung theo blueprint; graph bridge IDs stable</t>
  </si>
  <si>
    <t>M6.1–M6.3; IO-12</t>
  </si>
  <si>
    <t>SRC-06 §5,8; SRC-08; SRC-02 §7.6</t>
  </si>
  <si>
    <t>DATA-11</t>
  </si>
  <si>
    <t>Human annotations &amp; outcomes</t>
  </si>
  <si>
    <t>UI corrections/edits/relevance/outcome + synthetic demo scripts</t>
  </si>
  <si>
    <t>Đủ mỗi feedback type; số thực được báo, không bịa adoption</t>
  </si>
  <si>
    <t>annotations.parquet/jsonl; outcome events; active-learning export</t>
  </si>
  <si>
    <t>Provenance/authors/review; train export chỉ approved; locked test không hồi vào train; no immediate truth</t>
  </si>
  <si>
    <t>M3.6; M4.7; M6.6; M7.1–M7.2</t>
  </si>
  <si>
    <t>SRC-06 §7; SRC-02 §7.10</t>
  </si>
  <si>
    <t>DATA-12</t>
  </si>
  <si>
    <t>Evaluation/release/ops evidence</t>
  </si>
  <si>
    <t>M0→M8</t>
  </si>
  <si>
    <t>Code/config/data/model/index/graph/policy outputs</t>
  </si>
  <si>
    <t>Mỗi gate 1 manifest/report; 5 E2E recordings; load snapshots</t>
  </si>
  <si>
    <t>run-manifest.json; reports; model/data cards; runbooks</t>
  </si>
  <si>
    <t>Hash/digests; immutable artifacts; sample_count/hardware; status NOT_RUN/FAIL rõ; large weights ngoài Git</t>
  </si>
  <si>
    <t>Các gate; M8.1–M8.8; IO-15</t>
  </si>
  <si>
    <t>SRC-15; SRC-02 §13–16,21</t>
  </si>
  <si>
    <t>TECHNOLOGY PLAN | chọn gì, dùng ở đâu, vì sao</t>
  </si>
  <si>
    <t>Tái dùng stack repo; phần mới/chưa chọn có ADR và gate. Không khóa lựa chọn model theo giả định chất lượng chưa đo; phiên bản package dùng lockfile khi triển khai.</t>
  </si>
  <si>
    <t>Tech ID</t>
  </si>
  <si>
    <t>Năng lực</t>
  </si>
  <si>
    <t>Trạng thái lựa chọn</t>
  </si>
  <si>
    <t>Cách dùng / giới hạn</t>
  </si>
  <si>
    <t>TECH-01</t>
  </si>
  <si>
    <t>Backend &amp; API</t>
  </si>
  <si>
    <t>Python 3.11/3.12; FastAPI; Pydantic; Poetry</t>
  </si>
  <si>
    <t>Có trong repo</t>
  </si>
  <si>
    <t>Typed APIs, validation, middleware, contracts; pin dependencies từ poetry.lock; /api/v1 canonical</t>
  </si>
  <si>
    <t>SRC-01; SRC-16; WEB-01</t>
  </si>
  <si>
    <t>TECH-02</t>
  </si>
  <si>
    <t>React + TypeScript; một bộ component chung</t>
  </si>
  <si>
    <t>M0/M2→M6</t>
  </si>
  <si>
    <t>Đề xuất; framework UI chưa có implementation</t>
  </si>
  <si>
    <t>Buyer chat trước; tái sử dụng cho agent/analyst/steward; responsive basic; chốt bundler/chart library M0, tránh nhiều frontend stack</t>
  </si>
  <si>
    <t>WEB-04; SRC-14</t>
  </si>
  <si>
    <t>TECH-03</t>
  </si>
  <si>
    <t>Operational storage</t>
  </si>
  <si>
    <t>PostgreSQL + versioned migrations</t>
  </si>
  <si>
    <t>Target repo</t>
  </si>
  <si>
    <t>Sessions/history/orders/policies/outcomes/annotations và metric source of truth; chọn driver/migration library tại G0</t>
  </si>
  <si>
    <t>SRC-02 §8; SRC-06 §1</t>
  </si>
  <si>
    <t>TECH-04</t>
  </si>
  <si>
    <t>Cache / queues</t>
  </si>
  <si>
    <t>Redis; Redis Streams; sliding-window limits</t>
  </si>
  <si>
    <t>M2/M4</t>
  </si>
  <si>
    <t>Repo có Redis; queue strategy cần thống nhất</t>
  </si>
  <si>
    <t>Chọn Redis Streams cho demo, một worker đơn giản; không triển khai đồng thời Celery và Kafka. Cache không là source of truth</t>
  </si>
  <si>
    <t>SRC-01; SRC-14; DEC-08</t>
  </si>
  <si>
    <t>TECH-05</t>
  </si>
  <si>
    <t>Parsing / ingestion</t>
  </si>
  <si>
    <t>Python HTML parser, JSONL/Parquet, Pydantic</t>
  </si>
  <si>
    <t>Cần triển khai clean/chunk</t>
  </si>
  <si>
    <t>Tái dùng crawler export; chọn parser theo snapshot; clause-based chunking giữ điều kiện; không cần OCR cho corpus HTML hiện tại</t>
  </si>
  <si>
    <t>SRC-10; SRC-06</t>
  </si>
  <si>
    <t>TECH-06</t>
  </si>
  <si>
    <t>Vector / lexical retrieval</t>
  </si>
  <si>
    <t>Qdrant + sentence-transformers + BM25 + RRF</t>
  </si>
  <si>
    <t>M2/M5</t>
  </si>
  <si>
    <t>Target repo; module khung</t>
  </si>
  <si>
    <t>Benchmark local BM25 reference và Qdrant dense; chọn sparse server-side khi parity/filter tests pass; không gắn vào free-tier quota chưa đo</t>
  </si>
  <si>
    <t>SRC-02 §7.5; SRC-06 §4; WEB-02</t>
  </si>
  <si>
    <t>TECH-07</t>
  </si>
  <si>
    <t>Embedding &amp; reranker</t>
  </si>
  <si>
    <t>Vietnamese/multilingual embedding candidate; BGE reranker candidate</t>
  </si>
  <si>
    <t>M0 smoke; M2 eval</t>
  </si>
  <si>
    <t>Chốt model ở G0/G2</t>
  </si>
  <si>
    <t>Dimension theo model thật; pin version/license; measured quality/latency/resource; enable rerank qua evidence, không mặc định</t>
  </si>
  <si>
    <t>SRC-06 §4; SRC-07 Retrieval</t>
  </si>
  <si>
    <t>TECH-08</t>
  </si>
  <si>
    <t>LLM</t>
  </si>
  <si>
    <t>Provider-configured LLM API hoặc local model đủ tài nguyên</t>
  </si>
  <si>
    <t>M0 chọn; M2 tích hợp</t>
  </si>
  <si>
    <t>Chưa chọn provider/model</t>
  </si>
  <si>
    <t>Smoke tiếng Việt + JSON/citation; model ID/context/token/cost limit ghi config; secrets ngoài repo; không fine-tune LLM trong 14 tuần</t>
  </si>
  <si>
    <t>SRC-02 §7.9; DEC-10</t>
  </si>
  <si>
    <t>TECH-09</t>
  </si>
  <si>
    <t>Orchestration/tools</t>
  </si>
  <si>
    <t>Python bounded FSM; typed tools; MCP adapter; task isolation</t>
  </si>
  <si>
    <t>Target architecture</t>
  </si>
  <si>
    <t>Allowlist/order/warranty/route tools; bounded reflection; action idempotency; không cần framework agent lớn ở MVP; microVM riêng extension</t>
  </si>
  <si>
    <t>SRC-05 L2/L5; SRC-02 §7.9</t>
  </si>
  <si>
    <t>TECH-10</t>
  </si>
  <si>
    <t>ABSA</t>
  </si>
  <si>
    <t>TF-IDF + Logistic Regression; PhoBERT candidate với PyTorch/Transformers</t>
  </si>
  <si>
    <t>M4/M7</t>
  </si>
  <si>
    <t>Dependencies có; model pipeline chưa có</t>
  </si>
  <si>
    <t>Baseline trước; một candidate bounded; tokenizer/splits pin; GPU access quyết định M0; ATE labels riêng; sklearn calibration/metrics</t>
  </si>
  <si>
    <t>TECH-11</t>
  </si>
  <si>
    <t>Graph</t>
  </si>
  <si>
    <t>Neo4j; Cypher parameterized; Python driver</t>
  </si>
  <si>
    <t>Issue-centered canonical schema; constraints/controlled hops; local graph + vector bridge; global summaries/DRIFT để extension</t>
  </si>
  <si>
    <t>SRC-02 §7.6–7.7; SRC-08; WEB-03</t>
  </si>
  <si>
    <t>TECH-12</t>
  </si>
  <si>
    <t>Analytics</t>
  </si>
  <si>
    <t>PostgreSQL SQL aggregates; scheduled Python jobs; React charts</t>
  </si>
  <si>
    <t>Denominator/population, version/freshness, min samples; reuse relational data; BI dedicated product không bắt buộc</t>
  </si>
  <si>
    <t>SRC-02 §7.4; SRC-14</t>
  </si>
  <si>
    <t>TECH-13</t>
  </si>
  <si>
    <t>Quality &amp; tests</t>
  </si>
  <si>
    <t>pytest; browser E2E runner; versioned JSONL eval; load harness</t>
  </si>
  <si>
    <t>pytest có; browser runner chọn G0</t>
  </si>
  <si>
    <t>Unit/contract/integration/eval/E2E/smoke/load; holdout splits; source and safety checks; browser tool cùng một stack cho 3 UIs</t>
  </si>
  <si>
    <t>SRC-01; SRC-02 §13,16; SRC-16</t>
  </si>
  <si>
    <t>TECH-14</t>
  </si>
  <si>
    <t>Observability</t>
  </si>
  <si>
    <t>OpenTelemetry; Prometheus; Grafana target</t>
  </si>
  <si>
    <t>M2→M8</t>
  </si>
  <si>
    <t>Dependencies cơ bản có</t>
  </si>
  <si>
    <t>Request/story/ticket IDs, versions, token/cost, p95, queue/drift; redact logs; dashboards bounded cho demo</t>
  </si>
  <si>
    <t>SRC-05 L7; SRC-07 monitoring</t>
  </si>
  <si>
    <t>TECH-15</t>
  </si>
  <si>
    <t>Packaging &amp; CI</t>
  </si>
  <si>
    <t>Docker Compose; GitHub Actions; immutable images; manifests</t>
  </si>
  <si>
    <t>Có scaffold</t>
  </si>
  <si>
    <t>Run locally early; AI gates and same artifact promotion; versioned data/model/knowledge rollback</t>
  </si>
  <si>
    <t>SRC-16; SRC-15; SRC-02 §15–16</t>
  </si>
  <si>
    <t>TECH-16</t>
  </si>
  <si>
    <t>Cloud target</t>
  </si>
  <si>
    <t>Helm; Terraform; AWS EKS/ECR/S3/Secrets; OIDC and per-service identity</t>
  </si>
  <si>
    <t>M8; production rollout conditional</t>
  </si>
  <si>
    <t>Target docs; chưa chứng minh live</t>
  </si>
  <si>
    <t>Minimal package validate; actual cloud needs access/budget/reviewer; production-grade scaling/HA thêm roadmap; không lấy quota free tier làm cam kết</t>
  </si>
  <si>
    <t>DECISION LOG | giả định và mâu thuẫn cần chốt</t>
  </si>
  <si>
    <t>Instruction mới nhất của người dùng: 14 tuần, bắt đầu 26/10/2026, một người, chatbot trước. Các lựa chọn kỹ thuật/ngưỡng chưa được xác nhận phải được chốt tại gate được ghi.</t>
  </si>
  <si>
    <t>Decision ID</t>
  </si>
  <si>
    <t>Chủ đề</t>
  </si>
  <si>
    <t>Vấn đề / nguồn khác nhau</t>
  </si>
  <si>
    <t>Quyết định đề xuất</t>
  </si>
  <si>
    <t>Trạng thái</t>
  </si>
  <si>
    <t>Hạn / task chốt</t>
  </si>
  <si>
    <t>Ảnh hưởng / xử lý</t>
  </si>
  <si>
    <t>DEC-01</t>
  </si>
  <si>
    <t>Lịch và nhân lực</t>
  </si>
  <si>
    <t>User: 14 tuần từ 26/10/2026; chỉ 1 người</t>
  </si>
  <si>
    <t>14 tuần đến 31/01/2027; làm việc cuối 29/01; 5 ngày/tuần, 1 ngày=8h; 60 ngày task + 10 slot dự phòng/nghỉ. 01/01/2027 dành 1 slot nghỉ dự kiến; còn 9 ngày dự phòng thực.</t>
  </si>
  <si>
    <t>Đã xác nhận lịch/người; giờ/nghỉ là giả định</t>
  </si>
  <si>
    <t>Nếu làm part-time/nghỉ thêm: dùng dự phòng rồi rebaseline; không song song nhiều vai trò.</t>
  </si>
  <si>
    <t>DEC-02</t>
  </si>
  <si>
    <t>Phạm vi một người</t>
  </si>
  <si>
    <t>Full blueprint gồm nhiều tầng enterprise; 14 tuần không đồng nghĩa production đạt hết</t>
  </si>
  <si>
    <t>Cam kết phạm vi bounded demo 5 personas; every requirement có coverage. Optional advanced được deferred; cloud/real CRM/business pilot có gate phụ thuộc.</t>
  </si>
  <si>
    <t>Đề xuất kế hoạch</t>
  </si>
  <si>
    <t>Không tuyên bố toàn bộ target architecture đã production-ready; gate thất bại cần kế hoạch sửa.</t>
  </si>
  <si>
    <t>DEC-03</t>
  </si>
  <si>
    <t>FRT 30s/60s và pipeline &lt;2s</t>
  </si>
  <si>
    <t>User story &lt;30s; acceptance/blueprint &lt;60s; architecture pipeline &lt;2s</t>
  </si>
  <si>
    <t>Chat MVP standard scenarios: full response &lt;60s trên bộ test; &lt;30s stretch. &lt;2s tách stage budget/target cần đo, không thay nghĩa thành first-token nếu chưa có ADR.</t>
  </si>
  <si>
    <t>Cần chốt tại G0</t>
  </si>
  <si>
    <t>M0.G; M2.G; M8.4</t>
  </si>
  <si>
    <t>FRT đo từ gửi ticket đến phản hồi đầu hữu ích; TTFT và full latency báo riêng, sample/hardware rõ.</t>
  </si>
  <si>
    <t>DEC-04</t>
  </si>
  <si>
    <t>Unsupported action / citations / business KPI</t>
  </si>
  <si>
    <t>Acceptance zero promises; architecture ≤1% actions, ≥95% completeness; FCR +15% chưa rõ đơn vị</t>
  </si>
  <si>
    <t>Zero unsupported policy/refund commitments trên critical suite; generic unsupported-action rate báo riêng. Policy claims cần citation 100%, completeness chung ≥95%. FCR +15% tạm hiểu tương đối, chốt baseline/denominator tại G0.</t>
  </si>
  <si>
    <t>Cần chốt ngưỡng/định nghĩa</t>
  </si>
  <si>
    <t>M0.G; M3.7; M8.7</t>
  </si>
  <si>
    <t>Mục tiêu business AHT ≥40%, FCR ≥15%, draft accept ≥80% chưa là kết quả; real pilot mới validate.</t>
  </si>
  <si>
    <t>DEC-05</t>
  </si>
  <si>
    <t>ABSA/Recall và latency targets</t>
  </si>
  <si>
    <t>Research ghi MVP F1 .80; acceptance .85; Recall@5 .88/@10 .85; p95 250/300ms giả định</t>
  </si>
  <si>
    <t>Demo floor F1 .80, production .85, critical aspect .75. Báo Recall@5 và @10 riêng cùng query set; @10 phải không thấp hơn @5 thực đo. Tất cả latency trên hardware/corpus pin.</t>
  </si>
  <si>
    <t>Targets cần baseline; không sửa số đo</t>
  </si>
  <si>
    <t>M0.G; M4.4; M5.3</t>
  </si>
  <si>
    <t>Ngưỡng Recall@10 thấp hơn @5 là floor yếu hơn, không phải kỳ vọng Recall giảm. Model failure không tự giảm gate.</t>
  </si>
  <si>
    <t>DEC-06</t>
  </si>
  <si>
    <t>Ontology và trạng thái nguyên nhân</t>
  </si>
  <si>
    <t>Blueprint có Issue/Firmware/Evidence/Team; schema rút gọn lấy RootCause trung tâm; status names khác</t>
  </si>
  <si>
    <t>Canonical Issue-centered ontology theo blueprint; adapter cho schema rút gọn; tách issue vs root-cause states; cause hypothesis/under_review/confirmed/rejected; issue emerging/investigating/confirmed/mitigated/monitored/closed.</t>
  </si>
  <si>
    <t>Đề xuất ADR</t>
  </si>
  <si>
    <t>M0.3; M6.1</t>
  </si>
  <si>
    <t>Chu trình graph hợp lệ không cấm toàn cục; chỉ kiểm chu trình trái invariant. Knowledge freshness &lt;24h là target cần đo.</t>
  </si>
  <si>
    <t>DEC-07</t>
  </si>
  <si>
    <t>API và schemas chưa đủ chatbot</t>
  </si>
  <si>
    <t>Blueprint cũ /v1/... khác README /api/v1/...; FeedbackRecord bắt product_id; Citation thiếu URL/version</t>
  </si>
  <si>
    <t>Giữ /api/v1 hiện có, thêm /chat/messages, schema conversation riêng; mở rộng citation và investigation; status enum; legacy endpoints deprecated; migration tương thích.</t>
  </si>
  <si>
    <t>Đề xuất chuẩn canonical</t>
  </si>
  <si>
    <t>M0.3; M2.5; M5.3</t>
  </si>
  <si>
    <t>Không chặn hỏi chính sách chung do thiếu product. Ghi OpenAPI version và contract tests.</t>
  </si>
  <si>
    <t>DEC-08</t>
  </si>
  <si>
    <t>BM25 backend, queue và scale</t>
  </si>
  <si>
    <t>README BM25 ngoài/Qdrant; data spec server-side sparse; worker nhắc Redis/Kafka, README Celery</t>
  </si>
  <si>
    <t>Demo một Redis Streams worker; local BM25 làm reference; dense+BM25+RRF contract ổn định. Chọn server-side sparse sau parity/filter benchmark; API modular monolith + worker.</t>
  </si>
  <si>
    <t>Đề xuất đơn giản hóa triển khai</t>
  </si>
  <si>
    <t>M0.3; M2.2; M4.5</t>
  </si>
  <si>
    <t>Không đưa Kafka/Celery/microservices vào cùng sprint; độc lập scale là boundary thiết kế và roadmap.</t>
  </si>
  <si>
    <t>DEC-09</t>
  </si>
  <si>
    <t>Dữ liệu, taxonomy và router</t>
  </si>
  <si>
    <t>UIT count/split minh họa; 10 aspect vs macro categories; 3-class router không có policy Q&amp;A</t>
  </si>
  <si>
    <t>Xác minh license/count/split chính thức; freeze taxonomy mapping; bổ sung domain labels; policy_query subintent thuộc service/chat branch; paired aspect-polarity payload.</t>
  </si>
  <si>
    <t>Cần khóa tại G0/G4</t>
  </si>
  <si>
    <t>M0.3; M4.1; M4.6</t>
  </si>
  <si>
    <t>Synthetic không là production evidence; unsupported language rõ; dataset span không tự suy từ category labels.</t>
  </si>
  <si>
    <t>DEC-10</t>
  </si>
  <si>
    <t>LLM/model/provider và thiếu benchmark</t>
  </si>
  <si>
    <t>Docs không khóa provider; embedding dimension/model candidates khác nhau; confidence .70 chưa calibrate</t>
  </si>
  <si>
    <t>Smoke chọn tại M0.3 theo tiếng Việt/schema/cost/access; config/version pin; confidence chỉ dùng khi có calibration hoặc rubric; .70 là rule thử nghiệm phải validate.</t>
  </si>
  <si>
    <t>Chưa chọn model; không chặn lập kế hoạch</t>
  </si>
  <si>
    <t>M0.3; M2.4; M4.4</t>
  </si>
  <si>
    <t>Thiếu key/compute chuyển resource blocker, không thay bằng response hardcoded rồi gọi hoàn thành.</t>
  </si>
  <si>
    <t>DEC-11</t>
  </si>
  <si>
    <t>Cloud và giới hạn free tier</t>
  </si>
  <si>
    <t>Docs nêu EKS/HA/GPU/scaling và quota RAM/node cụ thể nhưng chưa có deployment evidence</t>
  </si>
  <si>
    <t>Compose demo bắt buộc; IaC package core M8; live EKS/CRM/prod phụ thuộc quyền/budget/reviewer; đo actual sizing, không kế thừa quota/số RAM chưa xác minh.</t>
  </si>
  <si>
    <t>Resource gate</t>
  </si>
  <si>
    <t>M0.3; M8.2–M8.3</t>
  </si>
  <si>
    <t>Thiếu resource: cloud gate BLOCKED/NOT_RUN; không thế bằng local pass; plan production mở rộng sau demo.</t>
  </si>
  <si>
    <t>DEC-12</t>
  </si>
  <si>
    <t>Nguồn lịch sử và bảo vệ dữ liệu</t>
  </si>
  <si>
    <t>Research còn nhắc kiosk/old docs; Final_project tham chiếu file không có; legal claims chưa kiểm chứng độc lập</t>
  </si>
  <si>
    <t>Lấy user instruction + current product/architecture làm chuẩn; research dùng eval/NFR/baseline. Ghi nguồn thiếu; privacy controls triển khai; legal/licensing sign-off giao owner, không claim compliance.</t>
  </si>
  <si>
    <t>Source precedence</t>
  </si>
  <si>
    <t>M0.1; M7.4; M8.5</t>
  </si>
  <si>
    <t>Không đưa ASR/TTS kiosk thành requirement SenticRAG; không tự thực thi policy theo văn bản luật trích dẫn chưa rà soát.</t>
  </si>
  <si>
    <t>DEC-13</t>
  </si>
  <si>
    <t>Human reviewer khi chỉ một developer</t>
  </si>
  <si>
    <t>5 personas gồm agent/steward; governance cần người được ủy quyền</t>
  </si>
  <si>
    <t>Dev mô phỏng roles bằng accounts tách trong demo; tự review theo checklist có evidence. External UAT/production approval chỉ ghi Done khi người có thẩm quyền thực sự duyệt.</t>
  </si>
  <si>
    <t>Giới hạn kiểm chứng</t>
  </si>
  <si>
    <t>M0.G; M6.6; M8.6</t>
  </si>
  <si>
    <t>Không bịa nhóm 3 người từ template; không gán tên thành viên dự án khác.</t>
  </si>
  <si>
    <t>DEC-14</t>
  </si>
  <si>
    <t>PII và policy applicability</t>
  </si>
  <si>
    <t>100% masking/context trong acceptance là target tuyệt đối; policy crawl thiếu ngày hiệu lực</t>
  </si>
  <si>
    <t>Kiểm 0 leaks trên suite có scope; entity/date thiếu → unknown/review, không tự điền. 100% context availability hiểu có trạng thái known/missing/unauthorized rõ, không invent order.</t>
  </si>
  <si>
    <t>Cần chốt acceptance scope</t>
  </si>
  <si>
    <t>M1.3; M3.2; M8.5</t>
  </si>
  <si>
    <t>Production redaction/generalization cần audit thêm; chưa có identity liên kết thì phải xác minh.</t>
  </si>
  <si>
    <t>EXTENSIONS | phạm vi conditional / sau tuần 14</t>
  </si>
  <si>
    <t>Các mục này vẫn được bao phủ trong traceability. Không tính effort triển khai extension vào 60 ngày core và không đánh dấu Done khi chỉ viết ADR.</t>
  </si>
  <si>
    <t>Hạng mục</t>
  </si>
  <si>
    <t>Scope</t>
  </si>
  <si>
    <t>Task xem xét trong 14 tuần</t>
  </si>
  <si>
    <t>Entry criteria</t>
  </si>
  <si>
    <t>Output cần có khi triển khai</t>
  </si>
  <si>
    <t>Ranh giới với core</t>
  </si>
  <si>
    <t>Cần query set global + local/warehouse baseline + token/cost budget</t>
  </si>
  <si>
    <t>Implement bounded experiment; quality/cost report; chỉ promote nếu gain</t>
  </si>
  <si>
    <t>Không cần cho 5 demo stories local entity-centered</t>
  </si>
  <si>
    <t>Đã có policy rules, authorization, rollback/idempotency và approve action matrix</t>
  </si>
  <si>
    <t>Controlled action integration + verified delivery/outcome</t>
  </si>
  <si>
    <t>Chatbot M3 có tools/approval; tự động hoàn tiền/liên hệ chủ động chưa triển khai</t>
  </si>
  <si>
    <t>M3.8; M6.9</t>
  </si>
  <si>
    <t>Có nhu cầu chạy code không tin cậy và hạ tầng hỗ trợ; task isolation hiện tại không đủ</t>
  </si>
  <si>
    <t>MicroVM proof-of-concept và threat/resource tests</t>
  </si>
  <si>
    <t>14 tuần dùng allowlisted typed tools + task/container isolation; không gọi đây là microVM</t>
  </si>
  <si>
    <t>M4.1; M6.9</t>
  </si>
  <si>
    <t>Có labels opinion/span/category, quyền dataset và tài nguyên; core ABSA gate đã ổn</t>
  </si>
  <si>
    <t>Candidate comparisons, slices và model card</t>
  </si>
  <si>
    <t>MVP tiếng Việt; ATE chỉ nếu nhãn phù hợp; multi-language unsupported path vẫn có</t>
  </si>
  <si>
    <t>M8.2–M8.5</t>
  </si>
  <si>
    <t>Cloud account/budget, qualified reviewer, secrets/backup, đủ load/monitoring window</t>
  </si>
  <si>
    <t>Live deploy evidence; sustained SLO; scaling/restore; audited prod approval</t>
  </si>
  <si>
    <t>IaC minimal + local demo có trong core; live target chưa có evidence không được đóng</t>
  </si>
  <si>
    <t>M3.2; M8.7</t>
  </si>
  <si>
    <t>API access/quyền dữ liệu, baseline cohort, support/product reviewers</t>
  </si>
  <si>
    <t>Live connector integration, real AHT/FCR/CSAT study</t>
  </si>
  <si>
    <t>14 tuần synthetic adapters + instrumentation; KPI business NOT VALIDATED nếu thiếu pilot</t>
  </si>
  <si>
    <t>M0.1; M6.9</t>
  </si>
  <si>
    <t>Có nguồn được phép và acceptance cho modality cụ thể; HTML/text MVP đã đạt</t>
  </si>
  <si>
    <t>Connector/parser schemas, permission and extraction quality report</t>
  </si>
  <si>
    <t>Không tự thêm kiosk ASR/TTS từ research lịch sử vào core</t>
  </si>
  <si>
    <t>M7.1–M7.2</t>
  </si>
  <si>
    <t>Annotation volume/multiple reviewers làm UI hiện tại thiếu; core approval/export đã ổn</t>
  </si>
  <si>
    <t>Argilla/alternative ADR và migration có evidence</t>
  </si>
  <si>
    <t>Core giữ workspace/approval/export và một retrain cycle; không bắt cài mọi tool được tham khảo</t>
  </si>
  <si>
    <t>SOURCE REGISTER | tài liệu và bằng chứng đọc repo</t>
  </si>
  <si>
    <t>Snapshot review: 23/10/2026, git 9083135. SRC-14 là nhóm A/B/C; SRC-16 là nhóm A/B/C/D. SHA-256 giúp nhận diện tài liệu thay đổi sau khi lập kế hoạch.</t>
  </si>
  <si>
    <t>Source ID</t>
  </si>
  <si>
    <t>Tên</t>
  </si>
  <si>
    <t>Đường dẫn / URL</t>
  </si>
  <si>
    <t>Mục đã đối chiếu</t>
  </si>
  <si>
    <t>Bao phủ bởi</t>
  </si>
  <si>
    <t>Lưu ý</t>
  </si>
  <si>
    <t>SHA-256</t>
  </si>
  <si>
    <t>Ngày đọc</t>
  </si>
  <si>
    <t>SRC-01</t>
  </si>
  <si>
    <t>README và repo layout</t>
  </si>
  <si>
    <t>README.md</t>
  </si>
  <si>
    <t>Executive summary; architecture; API layout; setup</t>
  </si>
  <si>
    <t>M0.1; M0.3; M8.8</t>
  </si>
  <si>
    <t>Current project overview; claims production phải kiểm code/evidence.</t>
  </si>
  <si>
    <t>94c473b9505e215958665d8f290c2df0fe9f94735d8032ed1a9a0817e7dc5db0</t>
  </si>
  <si>
    <t>2026-10-23</t>
  </si>
  <si>
    <t>SRC-02</t>
  </si>
  <si>
    <t>Final project tiếng Việt</t>
  </si>
  <si>
    <t>docs/architecture/Final_project_rewritten.md</t>
  </si>
  <si>
    <t>§0–4 product/personas; §5–9 architecture/modules/data/API; §10 research; §11–12 changes/layout; §13–17 eval/governance/ops; §18–24 roadmap/scenario/risks/DoD/narrative/sources</t>
  </si>
  <si>
    <t>M0–M8; all acceptance IDs; Extensions</t>
  </si>
  <si>
    <t>Nguồn bao quát nhất; old referenced Bai_Toan_Dat_Ra/Final_project(3) không tìm thấy trong repo hiện tại.</t>
  </si>
  <si>
    <t>0a99d8ee7e99f51d68c9ef3cb0b73e420d72442a50f00cf967e5c901d8a79009</t>
  </si>
  <si>
    <t>SRC-03</t>
  </si>
  <si>
    <t>Product user stories</t>
  </si>
  <si>
    <t>docs/product/user-stories.md</t>
  </si>
  <si>
    <t>US-BUY-01, US-AGENT-01, US-ANALYST-01, US-PM-01</t>
  </si>
  <si>
    <t>M2–M8</t>
  </si>
  <si>
    <t>Outcome numbers là targets; FRT khác acceptance cần DEC-03.</t>
  </si>
  <si>
    <t>057018fb888aae7036e89e13a7df74e4cc1238599c4223ded63b778429329161</t>
  </si>
  <si>
    <t>SRC-04</t>
  </si>
  <si>
    <t>Product acceptance</t>
  </si>
  <si>
    <t>docs/product/acceptance-criteria.md</t>
  </si>
  <si>
    <t>Buyer/Agent/Analyst/PM readiness</t>
  </si>
  <si>
    <t>G2–G8; Q-02..18</t>
  </si>
  <si>
    <t>Tiêu chí dùng nghiệm thu, không là số đo repo.</t>
  </si>
  <si>
    <t>f0fc522e55e5ea4791fef0a6a77c2e27dca8a00c71481674b2203749c893c4c6</t>
  </si>
  <si>
    <t>SRC-05</t>
  </si>
  <si>
    <t>Architecture blueprint</t>
  </si>
  <si>
    <t>docs/architecture/ARCHITECTURE.md</t>
  </si>
  <si>
    <t>§0–4 purpose/story/traceability; §5 7-layer/memory/2 pipelines; §6–10 modules/security/APIs/metrics/roadmap</t>
  </si>
  <si>
    <t>ARCH-L1..L7; M0–M8</t>
  </si>
  <si>
    <t>Có US-STEWARD-01 và production targets; chatbot-first đổi thứ tự, giữ coverage.</t>
  </si>
  <si>
    <t>42365f3b43675674f5f9964c76abf19cdf05306b2388db7618b1930d0c991692</t>
  </si>
  <si>
    <t>SRC-06</t>
  </si>
  <si>
    <t>Production data specification</t>
  </si>
  <si>
    <t>docs/reports/production-data-specification.md</t>
  </si>
  <si>
    <t>§1 storage; §2 PII/router; §3 ABSA; §4 retrieval; §5 graph/policy/CRM; §6 resolution; §7 feedback; §8 data checklist</t>
  </si>
  <si>
    <t>Data Plan; IO-03..15; M1/M3/M4/M6/M7</t>
  </si>
  <si>
    <t>Counts/splits/model/quota minh họa cần verify, không copy làm kết quả/thông số runtime đã đo.</t>
  </si>
  <si>
    <t>4886f98db3916b7131914bbfe5fa771491276d4a59ad9ac62d760d43435e7939</t>
  </si>
  <si>
    <t>SRC-07</t>
  </si>
  <si>
    <t>Deep research report</t>
  </si>
  <si>
    <t>docs/reports/deep-research-report.md</t>
  </si>
  <si>
    <t>ABSA/Retrieval AC; baseline-first; NFR/governance; doc template/roadmap</t>
  </si>
  <si>
    <t>ABSA-AC-01..10; RET-AC-01..12; M0/M4/M8</t>
  </si>
  <si>
    <t>Historical context; kiosk/old API/missing docs không override current product. Numerical thresholds marked assumptions.</t>
  </si>
  <si>
    <t>8bf62561a43de6b1ccc2be5890eced7902269847d95f54986afa916ee2f27d69</t>
  </si>
  <si>
    <t>SRC-08</t>
  </si>
  <si>
    <t>Ontology schema</t>
  </si>
  <si>
    <t>docs/ontology/ontology-schema.md</t>
  </si>
  <si>
    <t>Nodes, edges, traversal pattern</t>
  </si>
  <si>
    <t>M6.1–M6.3; DEC-06</t>
  </si>
  <si>
    <t>Schema rút gọn phải reconcile với Issue/Firmware/Evidence/Team trong blueprint.</t>
  </si>
  <si>
    <t>c6dce4ba42396a6b4c951d87ef266c266ebe26521c23401dde4ff49982dd4cf5</t>
  </si>
  <si>
    <t>SRC-09</t>
  </si>
  <si>
    <t>Capability map</t>
  </si>
  <si>
    <t>docs/product/capability-map.md</t>
  </si>
  <si>
    <t>Quantitative/qualitative/actionable/learning; module invariants</t>
  </si>
  <si>
    <t>Module Catalog; ARCH-BOUNDARY</t>
  </si>
  <si>
    <t>Giữ ranh giới ABSA/retrieval/graph/policy.</t>
  </si>
  <si>
    <t>0ca2bdb555a2c48f3aae7e3ed037b79d77c50513293c711e89910283be44df47</t>
  </si>
  <si>
    <t>SRC-10</t>
  </si>
  <si>
    <t>Crawler README</t>
  </si>
  <si>
    <t>Data_crawling/README.md</t>
  </si>
  <si>
    <t>Discovery/scrape exports; raw captures; isolation</t>
  </si>
  <si>
    <t>M1.1–M1.2</t>
  </si>
  <si>
    <t>Chỉ raw data; navigation/footer chưa clean; adapter file boundary.</t>
  </si>
  <si>
    <t>b11ced8a57f68b7ca6ef5ef24ac5b6fad4202ae88265ac4351fdeedc62dc8b84</t>
  </si>
  <si>
    <t>SRC-11</t>
  </si>
  <si>
    <t>Crawler design</t>
  </si>
  <si>
    <t>Data_crawling/docs/design.md</t>
  </si>
  <si>
    <t>Scope, URL handling, workflow, limits</t>
  </si>
  <si>
    <t>M1.1; DATA-01</t>
  </si>
  <si>
    <t>Không mở scope crawler trong plan này.</t>
  </si>
  <si>
    <t>a5f11f936c9115ccc4c4526d5c016d738a74abba759a9f25f56faa26dee113ed</t>
  </si>
  <si>
    <t>SRC-12</t>
  </si>
  <si>
    <t>Crawler implementation plan</t>
  </si>
  <si>
    <t>Data_crawling/docs/implementation-plan.md</t>
  </si>
  <si>
    <t>Standalone boundaries; implementation/verification history</t>
  </si>
  <si>
    <t>M0.1; M1.1</t>
  </si>
  <si>
    <t>Historical completed crawl work; không gán Done cho new ingestion pipeline.</t>
  </si>
  <si>
    <t>d00775157c91cdf6536fe2bacb2cbcc4f2ddba4d3ee7517f5fa7640ed48c2f71</t>
  </si>
  <si>
    <t>SRC-13</t>
  </si>
  <si>
    <t>Crawler verification</t>
  </si>
  <si>
    <t>Data_crawling/docs/verification.md</t>
  </si>
  <si>
    <t>26/34 tests; 56 attempted/52 success/4 fail historical batch</t>
  </si>
  <si>
    <t>M0.1; M1.1; DATA-01</t>
  </si>
  <si>
    <t>Evidence lịch sử 19–20/10/2026, không phải rerun của lượt lập kế hoạch này.</t>
  </si>
  <si>
    <t>84ed6225b6af1b096b4a98833982b0ccb881ebdeac4f8aeefc49f704cfcf4ac2</t>
  </si>
  <si>
    <t>SRC-14A</t>
  </si>
  <si>
    <t>Agent workspace scope</t>
  </si>
  <si>
    <t>apps/agent_workspace/README.md</t>
  </si>
  <si>
    <t>Triage/context/draft/actions/feedback</t>
  </si>
  <si>
    <t>M3.5; M4.7; M6.4; M7.1</t>
  </si>
  <si>
    <t>README target; app code còn khung.</t>
  </si>
  <si>
    <t>a7c0405a62d4dcc0fea137be5c8292446ef6115420d2f24e67642802d74d44a1</t>
  </si>
  <si>
    <t>SRC-14B</t>
  </si>
  <si>
    <t>Analyst dashboard scope</t>
  </si>
  <si>
    <t>apps/analyst_dashboard/README.md</t>
  </si>
  <si>
    <t>Macro BI; drill-down; graph explorer; contribution</t>
  </si>
  <si>
    <t>M5; M6.5</t>
  </si>
  <si>
    <t>770515250bca7ac3e56d58e9b5c7aca61a375eb43e6b00dba24a08e88c2b1dc6</t>
  </si>
  <si>
    <t>SRC-14C</t>
  </si>
  <si>
    <t>Worker scope</t>
  </si>
  <si>
    <t>apps/worker/README.md</t>
  </si>
  <si>
    <t>Consumers/jobs/alerts/active learning</t>
  </si>
  <si>
    <t>M4.5; M5.1; M7.2–M7.3</t>
  </si>
  <si>
    <t>Chốt queue tại DEC-08.</t>
  </si>
  <si>
    <t>b73cedf1ad4358bfaa55447aba52cc4dca1cff6dbf1035cabbb0babd41781bd0</t>
  </si>
  <si>
    <t>SRC-15</t>
  </si>
  <si>
    <t>Artifact conventions</t>
  </si>
  <si>
    <t>artifacts/README.md</t>
  </si>
  <si>
    <t>Versioned S3/local artifacts; immutable manifest; no large binaries in Git</t>
  </si>
  <si>
    <t>M4.3; M8.1; M8.8</t>
  </si>
  <si>
    <t>Workbook planning không phải model checkpoint; model weights/index ngoài Git.</t>
  </si>
  <si>
    <t>e0269617a9c3aaf1ee558e2de93833bff937779c16bc1e0597dfd30800b0e283</t>
  </si>
  <si>
    <t>SRC-16A</t>
  </si>
  <si>
    <t>Current API implementation</t>
  </si>
  <si>
    <t>apps/api/app/main.py</t>
  </si>
  <si>
    <t>Mock handlers; readiness static; legacy endpoints</t>
  </si>
  <si>
    <t>M0.1; M2.5; M3.4; M4.5; M8.3</t>
  </si>
  <si>
    <t>Chỉ kiểm đọc mã, không claim API đáp ứng user story.</t>
  </si>
  <si>
    <t>30caf59185ae264878fc4282bc8ac508c0e9b641a470e4182450423dcb536e2d</t>
  </si>
  <si>
    <t>SRC-16B</t>
  </si>
  <si>
    <t>Current data contracts</t>
  </si>
  <si>
    <t>packages/data_contracts/__init__.py</t>
  </si>
  <si>
    <t>FeedbackRecord/AspectSentiment/Investigation/Resolution/Feedback schemas</t>
  </si>
  <si>
    <t>M0.3; IO Contracts</t>
  </si>
  <si>
    <t>Cần chat schema, policy URL/version, rich filters, typed feedback.</t>
  </si>
  <si>
    <t>6ac661dab8b2887abcb28f1402bdde2fb60ab18b75e5d98ab183f79eb9a5aff4</t>
  </si>
  <si>
    <t>SRC-16C</t>
  </si>
  <si>
    <t>Dependencies</t>
  </si>
  <si>
    <t>pyproject.toml</t>
  </si>
  <si>
    <t>Python range/dependencies/test tooling</t>
  </si>
  <si>
    <t>M0.3; Tech Stack</t>
  </si>
  <si>
    <t>Chọn/pin model/library tại implementation; không claim versions mới nhất.</t>
  </si>
  <si>
    <t>e42fadd01cd79769d76edcc6f56359b0e8ec24b9f7d55957a445c8a6cbecf5ce</t>
  </si>
  <si>
    <t>SRC-16D</t>
  </si>
  <si>
    <t>Compose infrastructure</t>
  </si>
  <si>
    <t>infra/compose/docker-compose.yml</t>
  </si>
  <si>
    <t>Target local services</t>
  </si>
  <si>
    <t>M0.4; M2.7; M8.3</t>
  </si>
  <si>
    <t>Cấu hình hiện hữu cần smoke/review trước dùng.</t>
  </si>
  <si>
    <t>5fe5fc1d70cfad10db81d39b1ac423af494d54c9c6c2927abbb4bb3d047b8e85</t>
  </si>
  <si>
    <t>SRC-17</t>
  </si>
  <si>
    <t>Excel template supplied by user</t>
  </si>
  <si>
    <t>https://github.com/khuonglaptri3/qpaf-visual-document-retrieval/blob/feature/m3-6-integrity-review/docs/GUILDLINE_OVERVIEWS_PROPOSAL/POAI_Milestone_Group01_Hoan_Chinh.xlsx</t>
  </si>
  <si>
    <t>Cover Page; WBS; Milestones; Proposal Traceability; Notes; dates/status/deliverable/Gantt</t>
  </si>
  <si>
    <t>Workbook structure and traceability design</t>
  </si>
  <si>
    <t>Adapt 16-week/3-member research template → 14-week/1-person SenticRAG; no borrowed completion statuses.</t>
  </si>
  <si>
    <t>896bf26657a58f4d921c4b51b0428931a8770ccea3248201f1ce148714383bdc</t>
  </si>
  <si>
    <t>WEB-01</t>
  </si>
  <si>
    <t>FastAPI official docs</t>
  </si>
  <si>
    <t>https://fastapi.tiangolo.com/</t>
  </si>
  <si>
    <t>API/backend reference</t>
  </si>
  <si>
    <t>Checked 23/10/2026; implementation versions remain pinned by project.</t>
  </si>
  <si>
    <t>WEB-02</t>
  </si>
  <si>
    <t>Qdrant Hybrid Queries official docs</t>
  </si>
  <si>
    <t>https://qdrant.tech/documentation/search/hybrid-queries/</t>
  </si>
  <si>
    <t>Dense/sparse fusion reference</t>
  </si>
  <si>
    <t>TECH-06; M2.2</t>
  </si>
  <si>
    <t>Referenced for design; no performance or quota claims inferred.</t>
  </si>
  <si>
    <t>WEB-03</t>
  </si>
  <si>
    <t>Neo4j constraints official docs</t>
  </si>
  <si>
    <t>https://neo4j.com/docs/cypher-manual/current/schema/constraints/</t>
  </si>
  <si>
    <t>Graph integrity reference</t>
  </si>
  <si>
    <t>TECH-11; M6.2</t>
  </si>
  <si>
    <t>Edition/version support must be checked during implementation.</t>
  </si>
  <si>
    <t>WEB-04</t>
  </si>
  <si>
    <t>React TypeScript official docs</t>
  </si>
  <si>
    <t>https://react.dev/learn/typescript</t>
  </si>
  <si>
    <t>Typed frontend reference</t>
  </si>
  <si>
    <t>Frontend choice proposed, not existing implementation.</t>
  </si>
  <si>
    <t>NOTES | quy tắc dùng và nghiệm thu kế hoạch</t>
  </si>
  <si>
    <t>Kế hoạch lập theo yêu cầu mới nhất của người dùng, tham chiếu toàn bộ tài liệu hiện hữu; mọi kết quả triển khai vẫn cần được tạo và kiểm chứng.</t>
  </si>
  <si>
    <t>Ghi chú</t>
  </si>
  <si>
    <t>N01</t>
  </si>
  <si>
    <t>Cách đọc</t>
  </si>
  <si>
    <t>Cover → Milestones → Milestone Details → WBS/Task Details → Module/IO → Traceability/Gates. Source Register cung cấp nguồn và hash.</t>
  </si>
  <si>
    <t>N02</t>
  </si>
  <si>
    <t>Một người</t>
  </si>
  <si>
    <t>Tất cả task owner là Trần Đình Khương. Role chỉ là loại công việc đang làm, không phải người bổ sung. Không lấy tên nhóm QPAF sang dự án này.</t>
  </si>
  <si>
    <t>N03</t>
  </si>
  <si>
    <t>Ngày và effort</t>
  </si>
  <si>
    <t>Start 26/10/2026, W14 hết 31/01/2027, ngày làm việc cuối 29/01. Đơn vị 0,5 ngày/4h; buổi bắt đầu AM/PM trong Task Details. WBS chỉ hiển thị ngày; xem slots/capacity để tránh hiểu task cùng ngày là chồng lịch.</t>
  </si>
  <si>
    <t>N04</t>
  </si>
  <si>
    <t>Capacity và nghỉ</t>
  </si>
  <si>
    <t>60 ngày core/gate + 9 ngày buffer + 1 ngày nghỉ dự kiến 01/01 = 70 ngày T2–T6. Chưa tính mọi ngày nghỉ cá nhân/nghỉ lễ phát sinh. Rebaseline khi nghỉ vượt buffer; ngày trong workbook là baseline cố định.</t>
  </si>
  <si>
    <t>N05</t>
  </si>
  <si>
    <t>Task core được xếp finish-to-start nối tiếp; giai đoạn sau chờ gate trước. Buffer là ngân sách lịch, không là task triển khai bắt buộc; M6.B nằm 01/01 trước gate M6 vì là ngày nghỉ.</t>
  </si>
  <si>
    <t>N06</t>
  </si>
  <si>
    <t>Gates</t>
  </si>
  <si>
    <t>PASS có đủ evidence; FAIL cần sửa; BLOCKED thiếu prerequisite; NOT RUN chưa chạy. Mỗi gate có review report/demo/manifest. Gate report phải ghi open scope và measured metrics.</t>
  </si>
  <si>
    <t>N07</t>
  </si>
  <si>
    <t>Trạng thái duy nhất</t>
  </si>
  <si>
    <t>Chỉnh Task Status tại WBS cột J; Milestones/Task Details lấy công thức tham chiếu. Tất cả core ban đầu Not Started; buffers Contingency; không tự nhận crawler cũ làm task mới Done.</t>
  </si>
  <si>
    <t>N08</t>
  </si>
  <si>
    <t>Done</t>
  </si>
  <si>
    <t>Chỉ đặt Done khi đạt Definition of Done và điền Evidence thực tế tại Task Details. Nếu task implementation xong nhưng target fail thì báo rõ gate FAIL; không coi code tồn tại là story đã nghiệm thu.</t>
  </si>
  <si>
    <t>N09</t>
  </si>
  <si>
    <t>Không mở rộng scope trong buffer</t>
  </si>
  <si>
    <t>Buffer dùng sửa lỗi/verification/nghỉ. Nếu không dùng, có thể rà soát thêm. Không tự lấp bằng global GraphRAG, Kubernetes HA hay nhiều candidate models.</t>
  </si>
  <si>
    <t>N10</t>
  </si>
  <si>
    <t>Chatbot-first</t>
  </si>
  <si>
    <t>M0 thiết kế; M1 knowledge; M2 chatbot demo cuối W4. Không cần đợi ABSA/Neo4j. Sau M3 có order/policy decision, M4 triage, M6 confirmed issue context.</t>
  </si>
  <si>
    <t>N11</t>
  </si>
  <si>
    <t>Ngưỡng không phải thành tích</t>
  </si>
  <si>
    <t>Targets F1/Recall/FRT/AHT/FCR trong docs chưa chứng minh repo đạt. Record sample_count, hardware, timestamps và test split. Synthetic replay không xác nhận business impact thật.</t>
  </si>
  <si>
    <t>N12</t>
  </si>
  <si>
    <t>Scope levels</t>
  </si>
  <si>
    <t>Core = bounded demo; Conditional = cần tài nguyên/quyền/budget/reviewer; Deferred = sau 14 tuần. Dòng conditional/deferred vẫn được trace, không lặng lẽ loại khỏi tài liệu.</t>
  </si>
  <si>
    <t>N13</t>
  </si>
  <si>
    <t>Cloud và production</t>
  </si>
  <si>
    <t>Compose demo bắt buộc. Minimal IaC package là core M8. Live EKS/prod cần prerequisite và người duyệt thật; nếu không đủ, ghi BLOCKED/NOT_RUN và để mở gate production.</t>
  </si>
  <si>
    <t>N14</t>
  </si>
  <si>
    <t>Reviewer</t>
  </si>
  <si>
    <t>Một developer có thể test các role bằng accounts riêng. Điều đó không thay độc lập đánh giá hoặc xác nhận chính sách của doanh nghiệp. Sự chấp thuận production/live actions cần chủ thể được ủy quyền.</t>
  </si>
  <si>
    <t>N15</t>
  </si>
  <si>
    <t>Data privacy</t>
  </si>
  <si>
    <t>Không raw customer PII trong vector/prompt/log; policy effective date unknown phải duyệt. Không biến công việc kỹ thuật thành tuyên bố tuân thủ pháp lý.</t>
  </si>
  <si>
    <t>N16</t>
  </si>
  <si>
    <t>Sử dụng mẫu</t>
  </si>
  <si>
    <t>Giữ 5 sheet chính, task/start/end/responsibility/deliverable/status/Gantt. Thay lịch 16→14 tuần, owner nhóm→1 người; bổ sung 11 sheet cho I/O/module/gates/data/tech/decision/capacity. Không giữ dữ liệu/trạng thái nghiên cứu QPAF.</t>
  </si>
  <si>
    <t>N17</t>
  </si>
  <si>
    <t>Phạm vi công việc lượt này</t>
  </si>
  <si>
    <t>Chỉ tạo kế hoạch XLSX/Markdown; không triển khai chatbot, train model, chạy cloud, gọi LLM production hay sửa API. Verification hiện tại kiểm tính toàn vẹn của kế hoạch/workbook.</t>
  </si>
  <si>
    <t>N18</t>
  </si>
  <si>
    <t>Đồng bộ tài liệu</t>
  </si>
  <si>
    <t>Markdown là bản đọc tại baseline; WBS Excel là nơi theo dõi tiến độ sau bàn giao. Khi đổi scope/deadline/effort, cập nhật cả milestone details, traceability, gates và capacity; không chỉ đổi ngày trên Cover.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</si>
</sst>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15">
    <font>
      <sz val="11"/>
      <color theme="1"/>
      <name val="Calibri"/>
      <family val="2"/>
      <scheme val="minor"/>
    </font>
    <font>
      <b/>
      <sz val="19"/>
      <color rgb="FF18334B"/>
      <name val="Calibri"/>
      <family val="2"/>
      <scheme val="minor"/>
    </font>
    <font>
      <sz val="11"/>
      <color rgb="FF18334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87E8B"/>
      <name val="Calibri"/>
      <family val="2"/>
      <scheme val="minor"/>
    </font>
    <font>
      <b/>
      <sz val="20.0"/>
      <color rgb="FFFFFFFF"/>
      <name val="Calibri"/>
      <family val="2"/>
      <scheme val="minor"/>
    </font>
    <font>
      <sz val="11.0"/>
      <color rgb="FF5D6B78"/>
      <name val="Calibri"/>
      <family val="2"/>
      <scheme val="minor"/>
    </font>
    <font>
      <u/>
      <sz val="10.0"/>
      <color rgb="FF087E8B"/>
      <name val="Calibri"/>
      <family val="2"/>
      <scheme val="minor"/>
    </font>
    <font>
      <sz val="11.0"/>
      <color rgb="FF18334B"/>
      <name val="Calibri"/>
      <family val="2"/>
      <scheme val="minor"/>
    </font>
    <font>
      <b/>
      <sz val="11"/>
      <color rgb="FF087E8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9.0"/>
      <color rgb="FF5D6B78"/>
      <name val="Calibri"/>
      <family val="2"/>
      <scheme val="minor"/>
    </font>
    <font>
      <b/>
      <sz val="11.0"/>
      <color rgb="FFFFFFFF"/>
      <name val="Calibri"/>
      <family val="2"/>
      <scheme val="minor"/>
    </font>
    <font>
      <b/>
      <u/>
      <sz val="11"/>
      <color rgb="FF087E8B"/>
      <name val="Calibri"/>
      <family val="2"/>
      <scheme val="minor"/>
    </font>
    <font>
      <u/>
      <sz val="11"/>
      <color rgb="FF087E8B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87E8B"/>
        <bgColor indexed="64"/>
      </patternFill>
    </fill>
    <fill>
      <patternFill patternType="solid">
        <fgColor rgb="FFEDF5F7"/>
        <bgColor indexed="64"/>
      </patternFill>
    </fill>
    <fill>
      <patternFill patternType="solid">
        <fgColor rgb="FF18334B"/>
        <bgColor indexed="64"/>
      </patternFill>
    </fill>
    <fill>
      <patternFill patternType="solid">
        <fgColor rgb="FFE0E5E8"/>
        <bgColor indexed="64"/>
      </patternFill>
    </fill>
    <fill>
      <patternFill patternType="solid">
        <fgColor rgb="FFE4EA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0CC"/>
        <bgColor indexed="64"/>
      </patternFill>
    </fill>
  </fills>
  <borders count="3">
    <border>
      <left/>
      <right/>
      <top/>
      <bottom/>
      <diagonal/>
    </border>
    <border>
      <left style="thin">
        <color rgb="FFD4E0E7"/>
      </left>
      <right style="thin">
        <color rgb="FFD4E0E7"/>
      </right>
      <top style="thin">
        <color rgb="FFD4E0E7"/>
      </top>
      <bottom style="thin">
        <color rgb="FFD4E0E7"/>
      </bottom>
      <diagonal/>
    </border>
    <border>
      <left/>
      <right/>
      <top/>
      <bottom style="thin">
        <color rgb="FFD4E0E7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0" fontId="3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top"/>
    </xf>
    <xf numFmtId="0" fontId="10" fillId="2" borderId="0" xfId="0" applyFont="1" applyFill="1" applyAlignment="1">
      <alignment horizontal="center" vertical="top"/>
    </xf>
    <xf numFmtId="0" fontId="11" fillId="3" borderId="0" xfId="0" applyFont="1" applyFill="1" applyAlignment="1">
      <alignment vertical="top"/>
    </xf>
    <xf numFmtId="0" fontId="11" fillId="5" borderId="0" xfId="0" applyFont="1" applyFill="1" applyAlignment="1">
      <alignment vertical="top"/>
    </xf>
    <xf numFmtId="165" fontId="11" fillId="3" borderId="0" xfId="0" applyNumberFormat="1" applyFont="1" applyFill="1" applyAlignment="1">
      <alignment horizontal="center" vertical="center" textRotation="90"/>
    </xf>
    <xf numFmtId="165" fontId="11" fillId="5" borderId="0" xfId="0" applyNumberFormat="1" applyFont="1" applyFill="1" applyAlignment="1">
      <alignment horizontal="center" vertical="center" textRotation="90"/>
    </xf>
    <xf numFmtId="0" fontId="12" fillId="2" borderId="2" xfId="0" applyFont="1" applyFill="1" applyBorder="1" applyAlignment="1">
      <alignment vertical="center" wrapText="1"/>
    </xf>
    <xf numFmtId="164" fontId="12" fillId="2" borderId="2" xfId="0" applyNumberFormat="1" applyFont="1" applyFill="1" applyBorder="1" applyAlignment="1">
      <alignment vertical="center" wrapText="1"/>
    </xf>
    <xf numFmtId="0" fontId="8" fillId="2" borderId="0" xfId="0" applyFont="1" applyFill="1" applyAlignment="1">
      <alignment horizontal="center" vertical="center"/>
    </xf>
    <xf numFmtId="0" fontId="8" fillId="3" borderId="2" xfId="0" applyFont="1" applyFill="1" applyBorder="1" applyAlignment="1">
      <alignment vertical="center" wrapText="1"/>
    </xf>
    <xf numFmtId="164" fontId="8" fillId="3" borderId="2" xfId="0" applyNumberFormat="1" applyFont="1" applyFill="1" applyBorder="1" applyAlignment="1">
      <alignment vertical="center" wrapText="1"/>
    </xf>
    <xf numFmtId="0" fontId="8" fillId="6" borderId="2" xfId="0" applyFont="1" applyFill="1" applyBorder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 wrapText="1"/>
    </xf>
    <xf numFmtId="0" fontId="8" fillId="7" borderId="2" xfId="0" applyFont="1" applyFill="1" applyBorder="1" applyAlignment="1">
      <alignment vertical="top" wrapText="1"/>
    </xf>
    <xf numFmtId="164" fontId="8" fillId="7" borderId="2" xfId="0" applyNumberFormat="1" applyFont="1" applyFill="1" applyBorder="1" applyAlignment="1">
      <alignment vertical="top" wrapText="1"/>
    </xf>
    <xf numFmtId="0" fontId="8" fillId="3" borderId="2" xfId="0" applyFont="1" applyFill="1" applyBorder="1" applyAlignment="1">
      <alignment vertical="top" wrapText="1"/>
    </xf>
    <xf numFmtId="164" fontId="8" fillId="3" borderId="2" xfId="0" applyNumberFormat="1" applyFont="1" applyFill="1" applyBorder="1" applyAlignment="1">
      <alignment vertical="top" wrapText="1"/>
    </xf>
    <xf numFmtId="0" fontId="8" fillId="7" borderId="2" xfId="0" applyFont="1" applyFill="1" applyBorder="1" applyAlignment="1">
      <alignment vertical="center" wrapText="1"/>
    </xf>
    <xf numFmtId="164" fontId="8" fillId="7" borderId="2" xfId="0" applyNumberFormat="1" applyFont="1" applyFill="1" applyBorder="1" applyAlignment="1">
      <alignment vertical="center" wrapText="1"/>
    </xf>
    <xf numFmtId="0" fontId="8" fillId="8" borderId="2" xfId="0" applyFont="1" applyFill="1" applyBorder="1" applyAlignment="1">
      <alignment vertical="center" wrapText="1"/>
    </xf>
    <xf numFmtId="0" fontId="8" fillId="8" borderId="0" xfId="0" applyFont="1" applyFill="1" applyAlignment="1">
      <alignment horizontal="center" vertical="center"/>
    </xf>
    <xf numFmtId="0" fontId="13" fillId="7" borderId="2" xfId="0" applyFont="1" applyFill="1" applyBorder="1" applyAlignment="1">
      <alignment vertical="top" wrapText="1"/>
    </xf>
    <xf numFmtId="0" fontId="13" fillId="3" borderId="2" xfId="0" applyFont="1" applyFill="1" applyBorder="1" applyAlignment="1">
      <alignment vertical="top" wrapText="1"/>
    </xf>
    <xf numFmtId="0" fontId="14" fillId="7" borderId="2" xfId="0" applyFont="1" applyFill="1" applyBorder="1" applyAlignment="1">
      <alignment vertical="top" wrapText="1"/>
    </xf>
    <xf numFmtId="0" fontId="14" fillId="3" borderId="2" xfId="0" applyFont="1" applyFill="1" applyBorder="1" applyAlignment="1">
      <alignment vertical="top" wrapText="1"/>
    </xf>
  </cellXfs>
  <cellStyles count="1">
    <cellStyle name="Normal" xfId="0" builtinId="0"/>
  </cellStyles>
  <dxfs count="6">
    <dxf>
      <font>
        <color rgb="FF18334B"/>
      </font>
      <fill>
        <patternFill>
          <bgColor rgb="FFE4EAF0"/>
        </patternFill>
      </fill>
    </dxf>
    <dxf>
      <font>
        <color rgb="FF18334B"/>
      </font>
      <fill>
        <patternFill>
          <bgColor rgb="FFDCEBFF"/>
        </patternFill>
      </fill>
    </dxf>
    <dxf>
      <font>
        <color rgb="FF18334B"/>
      </font>
      <fill>
        <patternFill>
          <bgColor rgb="FFC8EAD9"/>
        </patternFill>
      </fill>
    </dxf>
    <dxf>
      <font>
        <color rgb="FF18334B"/>
      </font>
      <fill>
        <patternFill>
          <bgColor rgb="FFF8D4D4"/>
        </patternFill>
      </fill>
    </dxf>
    <dxf>
      <font>
        <color rgb="FF18334B"/>
      </font>
      <fill>
        <patternFill>
          <bgColor rgb="FFEADFF3"/>
        </patternFill>
      </fill>
    </dxf>
    <dxf>
      <font>
        <color rgb="FF18334B"/>
      </font>
      <fill>
        <patternFill>
          <bgColor rgb="FFFFF0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..\..\README.md" TargetMode="External"/><Relationship Id="rId2" Type="http://schemas.openxmlformats.org/officeDocument/2006/relationships/hyperlink" Target="..\architecture\Final_project_rewritten.md" TargetMode="External"/><Relationship Id="rId3" Type="http://schemas.openxmlformats.org/officeDocument/2006/relationships/hyperlink" Target="..\product\user-stories.md" TargetMode="External"/><Relationship Id="rId4" Type="http://schemas.openxmlformats.org/officeDocument/2006/relationships/hyperlink" Target="..\product\acceptance-criteria.md" TargetMode="External"/><Relationship Id="rId5" Type="http://schemas.openxmlformats.org/officeDocument/2006/relationships/hyperlink" Target="..\architecture\ARCHITECTURE.md" TargetMode="External"/><Relationship Id="rId6" Type="http://schemas.openxmlformats.org/officeDocument/2006/relationships/hyperlink" Target="..\reports\production-data-specification.md" TargetMode="External"/><Relationship Id="rId7" Type="http://schemas.openxmlformats.org/officeDocument/2006/relationships/hyperlink" Target="..\reports\deep-research-report.md" TargetMode="External"/><Relationship Id="rId8" Type="http://schemas.openxmlformats.org/officeDocument/2006/relationships/hyperlink" Target="..\ontology\ontology-schema.md" TargetMode="External"/><Relationship Id="rId9" Type="http://schemas.openxmlformats.org/officeDocument/2006/relationships/hyperlink" Target="..\product\capability-map.md" TargetMode="External"/><Relationship Id="rId10" Type="http://schemas.openxmlformats.org/officeDocument/2006/relationships/hyperlink" Target="..\..\Data_crawling\README.md" TargetMode="External"/><Relationship Id="rId11" Type="http://schemas.openxmlformats.org/officeDocument/2006/relationships/hyperlink" Target="..\..\Data_crawling\docs\design.md" TargetMode="External"/><Relationship Id="rId12" Type="http://schemas.openxmlformats.org/officeDocument/2006/relationships/hyperlink" Target="..\..\Data_crawling\docs\implementation-plan.md" TargetMode="External"/><Relationship Id="rId13" Type="http://schemas.openxmlformats.org/officeDocument/2006/relationships/hyperlink" Target="..\..\Data_crawling\docs\verification.md" TargetMode="External"/><Relationship Id="rId14" Type="http://schemas.openxmlformats.org/officeDocument/2006/relationships/hyperlink" Target="..\..\apps\agent_workspace\README.md" TargetMode="External"/><Relationship Id="rId15" Type="http://schemas.openxmlformats.org/officeDocument/2006/relationships/hyperlink" Target="..\..\apps\analyst_dashboard\README.md" TargetMode="External"/><Relationship Id="rId16" Type="http://schemas.openxmlformats.org/officeDocument/2006/relationships/hyperlink" Target="..\..\apps\worker\README.md" TargetMode="External"/><Relationship Id="rId17" Type="http://schemas.openxmlformats.org/officeDocument/2006/relationships/hyperlink" Target="..\..\artifacts\README.md" TargetMode="External"/><Relationship Id="rId18" Type="http://schemas.openxmlformats.org/officeDocument/2006/relationships/hyperlink" Target="..\..\apps\api\app\main.py" TargetMode="External"/><Relationship Id="rId19" Type="http://schemas.openxmlformats.org/officeDocument/2006/relationships/hyperlink" Target="..\..\packages\data_contracts\__init__.py" TargetMode="External"/><Relationship Id="rId20" Type="http://schemas.openxmlformats.org/officeDocument/2006/relationships/hyperlink" Target="..\..\pyproject.toml" TargetMode="External"/><Relationship Id="rId21" Type="http://schemas.openxmlformats.org/officeDocument/2006/relationships/hyperlink" Target="..\..\infra\compose\docker-compose.yml" TargetMode="External"/><Relationship Id="rId22" Type="http://schemas.openxmlformats.org/officeDocument/2006/relationships/hyperlink" Target="https://github.com/khuonglaptri3/qpaf-visual-document-retrieval/blob/feature/m3-6-integrity-review/docs/GUILDLINE_OVERVIEWS_PROPOSAL/POAI_Milestone_Group01_Hoan_Chinh.xlsx" TargetMode="External"/><Relationship Id="rId23" Type="http://schemas.openxmlformats.org/officeDocument/2006/relationships/hyperlink" Target="https://fastapi.tiangolo.com/" TargetMode="External"/><Relationship Id="rId24" Type="http://schemas.openxmlformats.org/officeDocument/2006/relationships/hyperlink" Target="https://qdrant.tech/documentation/search/hybrid-queries/" TargetMode="External"/><Relationship Id="rId25" Type="http://schemas.openxmlformats.org/officeDocument/2006/relationships/hyperlink" Target="https://neo4j.com/docs/cypher-manual/current/schema/constraints/" TargetMode="External"/><Relationship Id="rId26" Type="http://schemas.openxmlformats.org/officeDocument/2006/relationships/hyperlink" Target="https://react.dev/learn/typescri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G31"/>
  <sheetViews>
    <sheetView showGridLines="0" tabSelected="1" zoomScale="85" zoomScaleNormal="85" workbookViewId="0"/>
  </sheetViews>
  <sheetFormatPr defaultRowHeight="15"/>
  <cols>
    <col min="1" max="1" width="11.7109375" customWidth="1"/>
    <col min="2" max="2" width="42.7109375" customWidth="1"/>
    <col min="3" max="4" width="15.7109375" customWidth="1"/>
    <col min="5" max="5" width="70.7109375" customWidth="1"/>
    <col min="6" max="7" width="13.7109375" customWidth="1"/>
  </cols>
  <sheetData>
    <row r="1" spans="1:7" ht="32.25" customHeight="1">
      <c r="A1" s="1" t="s">
        <v>0</v>
      </c>
      <c r="B1" s="1" t="s">
        <v>1</v>
      </c>
    </row>
    <row r="2" spans="1:7" ht="32.25" customHeight="1">
      <c r="A2" s="2" t="s">
        <v>2</v>
      </c>
      <c r="B2" s="3">
        <v>46321</v>
      </c>
      <c r="C2" s="2" t="s">
        <v>3</v>
      </c>
      <c r="D2" s="3">
        <v>46416</v>
      </c>
      <c r="E2" s="2" t="s">
        <v>4</v>
      </c>
    </row>
    <row r="4" spans="1:7" ht="32.25" customHeight="1">
      <c r="A4" s="4" t="s">
        <v>5</v>
      </c>
      <c r="B4" s="4" t="s">
        <v>6</v>
      </c>
      <c r="C4" s="4" t="s">
        <v>2</v>
      </c>
      <c r="D4" s="4" t="s">
        <v>7</v>
      </c>
      <c r="E4" s="4" t="s">
        <v>8</v>
      </c>
      <c r="F4" s="4" t="s">
        <v>9</v>
      </c>
      <c r="G4" s="4" t="s">
        <v>10</v>
      </c>
    </row>
    <row r="5" spans="1:7" ht="78" customHeight="1">
      <c r="A5" s="5" t="s">
        <v>11</v>
      </c>
      <c r="B5" s="5" t="s">
        <v>12</v>
      </c>
      <c r="C5" s="3">
        <v>46321</v>
      </c>
      <c r="D5" s="3">
        <v>46325</v>
      </c>
      <c r="E5" s="5" t="s">
        <v>13</v>
      </c>
      <c r="F5" s="5" t="s">
        <v>14</v>
      </c>
      <c r="G5" s="5" t="s">
        <v>15</v>
      </c>
    </row>
    <row r="6" spans="1:7" ht="78" customHeight="1">
      <c r="A6" s="2" t="s">
        <v>16</v>
      </c>
      <c r="B6" s="2" t="s">
        <v>17</v>
      </c>
      <c r="C6" s="3">
        <v>46328</v>
      </c>
      <c r="D6" s="3">
        <v>46332</v>
      </c>
      <c r="E6" s="2" t="s">
        <v>18</v>
      </c>
      <c r="F6" s="2" t="s">
        <v>19</v>
      </c>
      <c r="G6" s="2" t="s">
        <v>20</v>
      </c>
    </row>
    <row r="7" spans="1:7" ht="78" customHeight="1">
      <c r="A7" s="5" t="s">
        <v>21</v>
      </c>
      <c r="B7" s="5" t="s">
        <v>22</v>
      </c>
      <c r="C7" s="3">
        <v>46335</v>
      </c>
      <c r="D7" s="3">
        <v>46346</v>
      </c>
      <c r="E7" s="5" t="s">
        <v>23</v>
      </c>
      <c r="F7" s="5" t="s">
        <v>24</v>
      </c>
      <c r="G7" s="5" t="s">
        <v>25</v>
      </c>
    </row>
    <row r="8" spans="1:7" ht="78" customHeight="1">
      <c r="A8" s="2" t="s">
        <v>26</v>
      </c>
      <c r="B8" s="2" t="s">
        <v>27</v>
      </c>
      <c r="C8" s="3">
        <v>46349</v>
      </c>
      <c r="D8" s="3">
        <v>46360</v>
      </c>
      <c r="E8" s="2" t="s">
        <v>28</v>
      </c>
      <c r="F8" s="2" t="s">
        <v>29</v>
      </c>
      <c r="G8" s="2" t="s">
        <v>30</v>
      </c>
    </row>
    <row r="9" spans="1:7" ht="78" customHeight="1">
      <c r="A9" s="5" t="s">
        <v>31</v>
      </c>
      <c r="B9" s="5" t="s">
        <v>32</v>
      </c>
      <c r="C9" s="3">
        <v>46363</v>
      </c>
      <c r="D9" s="3">
        <v>46374</v>
      </c>
      <c r="E9" s="5" t="s">
        <v>33</v>
      </c>
      <c r="F9" s="5" t="s">
        <v>34</v>
      </c>
      <c r="G9" s="5" t="s">
        <v>35</v>
      </c>
    </row>
    <row r="10" spans="1:7" ht="78" customHeight="1">
      <c r="A10" s="2" t="s">
        <v>36</v>
      </c>
      <c r="B10" s="2" t="s">
        <v>37</v>
      </c>
      <c r="C10" s="3">
        <v>46377</v>
      </c>
      <c r="D10" s="3">
        <v>46381</v>
      </c>
      <c r="E10" s="2" t="s">
        <v>38</v>
      </c>
      <c r="F10" s="2" t="s">
        <v>39</v>
      </c>
      <c r="G10" s="2" t="s">
        <v>40</v>
      </c>
    </row>
    <row r="11" spans="1:7" ht="78" customHeight="1">
      <c r="A11" s="5" t="s">
        <v>41</v>
      </c>
      <c r="B11" s="5" t="s">
        <v>42</v>
      </c>
      <c r="C11" s="3">
        <v>46384</v>
      </c>
      <c r="D11" s="3">
        <v>46395</v>
      </c>
      <c r="E11" s="5" t="s">
        <v>43</v>
      </c>
      <c r="F11" s="5" t="s">
        <v>44</v>
      </c>
      <c r="G11" s="5" t="s">
        <v>45</v>
      </c>
    </row>
    <row r="12" spans="1:7" ht="78" customHeight="1">
      <c r="A12" s="2" t="s">
        <v>46</v>
      </c>
      <c r="B12" s="2" t="s">
        <v>47</v>
      </c>
      <c r="C12" s="3">
        <v>46398</v>
      </c>
      <c r="D12" s="3">
        <v>46402</v>
      </c>
      <c r="E12" s="2" t="s">
        <v>48</v>
      </c>
      <c r="F12" s="2" t="s">
        <v>49</v>
      </c>
      <c r="G12" s="2" t="s">
        <v>50</v>
      </c>
    </row>
    <row r="13" spans="1:7" ht="78" customHeight="1">
      <c r="A13" s="5" t="s">
        <v>51</v>
      </c>
      <c r="B13" s="5" t="s">
        <v>52</v>
      </c>
      <c r="C13" s="3">
        <v>46405</v>
      </c>
      <c r="D13" s="3">
        <v>46416</v>
      </c>
      <c r="E13" s="5" t="s">
        <v>53</v>
      </c>
      <c r="F13" s="5" t="s">
        <v>54</v>
      </c>
      <c r="G13" s="5" t="s">
        <v>55</v>
      </c>
    </row>
    <row r="15" spans="1:7" ht="30" customHeight="1">
      <c r="B15" s="1" t="s">
        <v>56</v>
      </c>
    </row>
    <row r="16" spans="1:7" ht="45.75" customHeight="1">
      <c r="E16" s="5" t="s">
        <v>72</v>
      </c>
    </row>
    <row r="17" spans="2:5" ht="24" customHeight="1">
      <c r="B17" s="6" t="s">
        <v>57</v>
      </c>
    </row>
    <row r="18" spans="2:5" ht="45.75" customHeight="1">
      <c r="B18" s="6" t="s">
        <v>58</v>
      </c>
      <c r="E18" s="2" t="s">
        <v>73</v>
      </c>
    </row>
    <row r="19" spans="2:5" ht="24" customHeight="1">
      <c r="B19" s="6" t="s">
        <v>59</v>
      </c>
    </row>
    <row r="20" spans="2:5" ht="45.75" customHeight="1">
      <c r="B20" s="6" t="s">
        <v>60</v>
      </c>
      <c r="E20" s="2" t="s">
        <v>74</v>
      </c>
    </row>
    <row r="21" spans="2:5" ht="24" customHeight="1">
      <c r="B21" s="6" t="s">
        <v>61</v>
      </c>
    </row>
    <row r="22" spans="2:5" ht="45.75" customHeight="1">
      <c r="B22" s="6" t="s">
        <v>62</v>
      </c>
      <c r="E22" s="2" t="s">
        <v>75</v>
      </c>
    </row>
    <row r="23" spans="2:5" ht="24" customHeight="1">
      <c r="B23" s="6" t="s">
        <v>63</v>
      </c>
    </row>
    <row r="24" spans="2:5" ht="45.75" customHeight="1">
      <c r="B24" s="6" t="s">
        <v>64</v>
      </c>
      <c r="E24" s="2" t="s">
        <v>76</v>
      </c>
    </row>
    <row r="25" spans="2:5" ht="24" customHeight="1">
      <c r="B25" s="6" t="s">
        <v>65</v>
      </c>
    </row>
    <row r="26" spans="2:5" ht="24" customHeight="1">
      <c r="B26" s="6" t="s">
        <v>66</v>
      </c>
    </row>
    <row r="27" spans="2:5" ht="24" customHeight="1">
      <c r="B27" s="6" t="s">
        <v>67</v>
      </c>
    </row>
    <row r="28" spans="2:5" ht="24" customHeight="1">
      <c r="B28" s="6" t="s">
        <v>68</v>
      </c>
    </row>
    <row r="29" spans="2:5" ht="24" customHeight="1">
      <c r="B29" s="6" t="s">
        <v>69</v>
      </c>
    </row>
    <row r="30" spans="2:5" ht="24" customHeight="1">
      <c r="B30" s="6" t="s">
        <v>70</v>
      </c>
    </row>
    <row r="31" spans="2:5" ht="24" customHeight="1">
      <c r="B31" s="6" t="s">
        <v>71</v>
      </c>
    </row>
  </sheetData>
  <autoFilter ref="A4:G13"/>
  <hyperlinks>
    <hyperlink ref="B17" location="'Milestones'!A1" display="Milestones"/>
    <hyperlink ref="B18" location="'Milestone Details'!A1" display="Milestone Details"/>
    <hyperlink ref="B19" location="'WBS'!A1" display="WBS"/>
    <hyperlink ref="B20" location="'Task Details'!A1" display="Task Details"/>
    <hyperlink ref="B21" location="'Capacity'!A1" display="Capacity"/>
    <hyperlink ref="B22" location="'Module Catalog'!A1" display="Module Catalog"/>
    <hyperlink ref="B23" location="'IO Contracts'!A1" display="IO Contracts"/>
    <hyperlink ref="B24" location="'Proposal Traceability'!A1" display="Proposal Traceability"/>
    <hyperlink ref="B25" location="'Acceptance Gates'!A1" display="Acceptance Gates"/>
    <hyperlink ref="B26" location="'Data Plan'!A1" display="Data Plan"/>
    <hyperlink ref="B27" location="'Tech Stack'!A1" display="Tech Stack"/>
    <hyperlink ref="B28" location="'Decisions'!A1" display="Decisions"/>
    <hyperlink ref="B29" location="'Extensions'!A1" display="Extensions"/>
    <hyperlink ref="B30" location="'Source Register'!A1" display="Source Register"/>
    <hyperlink ref="B31" location="'Notes'!A1" display="Notes"/>
  </hyperlinks>
  <pageMargins left="0.7" right="0.7" top="0.75" bottom="0.75" header="0.3" footer="0.3"/>
  <pageSetup paperSize="8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DD28"/>
  <sheetViews>
    <sheetView showGridLines="0" zoomScale="75" zoomScaleNormal="75" workbookViewId="0">
      <pane xSplit="5" ySplit="10" topLeftCell="F11" activePane="bottomRight" state="frozen"/>
      <selection pane="topRight" activeCell="F1" sqref="F1"/>
      <selection pane="bottomLeft" activeCell="A11" sqref="A11"/>
      <selection pane="bottomRight"/>
    </sheetView>
  </sheetViews>
  <sheetFormatPr defaultRowHeight="15"/>
  <cols>
    <col min="1" max="1" width="3.28515625" customWidth="1"/>
    <col min="2" max="2" width="6.7109375" customWidth="1"/>
    <col min="3" max="3" width="3.7109375" customWidth="1"/>
    <col min="4" max="4" width="12.7109375" customWidth="1"/>
    <col min="5" max="5" width="50.7109375" customWidth="1"/>
    <col min="6" max="7" width="14.7109375" customWidth="1"/>
    <col min="8" max="8" width="22.7109375" customWidth="1"/>
    <col min="9" max="9" width="58.7109375" customWidth="1"/>
    <col min="10" max="10" width="16.7109375" customWidth="1"/>
    <col min="11" max="108" width="4.140625" customWidth="1"/>
  </cols>
  <sheetData>
    <row r="1" spans="1:108" ht="36" customHeight="1">
      <c r="A1" s="7" t="s">
        <v>77</v>
      </c>
      <c r="B1" s="7"/>
      <c r="C1" s="7"/>
      <c r="D1" s="7"/>
      <c r="E1" s="7"/>
      <c r="F1" s="7"/>
      <c r="G1" s="7"/>
      <c r="H1" s="7"/>
      <c r="I1" s="7"/>
      <c r="J1" s="7"/>
    </row>
    <row r="2" spans="1:108" ht="36" customHeight="1">
      <c r="A2" s="8" t="s">
        <v>78</v>
      </c>
      <c r="B2" s="8"/>
      <c r="C2" s="8"/>
      <c r="D2" s="8"/>
      <c r="E2" s="8"/>
      <c r="F2" s="8"/>
      <c r="G2" s="8"/>
      <c r="H2" s="8"/>
      <c r="I2" s="8"/>
      <c r="J2" s="8"/>
    </row>
    <row r="3" spans="1:108">
      <c r="A3" s="9" t="s">
        <v>79</v>
      </c>
    </row>
    <row r="4" spans="1:108">
      <c r="B4" s="10" t="s">
        <v>80</v>
      </c>
      <c r="C4" s="10"/>
      <c r="D4" s="10"/>
      <c r="E4" s="10"/>
      <c r="F4" s="10"/>
      <c r="G4" s="10"/>
      <c r="H4" s="10"/>
      <c r="I4" s="10"/>
      <c r="J4" s="10"/>
    </row>
    <row r="5" spans="1:108">
      <c r="B5" s="11" t="s">
        <v>81</v>
      </c>
      <c r="C5" s="11"/>
      <c r="D5" s="11"/>
      <c r="E5" s="11"/>
      <c r="F5" s="11"/>
      <c r="G5" s="11"/>
      <c r="H5" s="11"/>
      <c r="I5" s="11"/>
      <c r="J5" s="11"/>
    </row>
    <row r="6" spans="1:108">
      <c r="B6" s="10" t="s">
        <v>82</v>
      </c>
      <c r="C6" s="10"/>
      <c r="D6" s="10"/>
      <c r="E6" s="10"/>
      <c r="F6" s="10"/>
      <c r="G6" s="10"/>
      <c r="H6" s="10"/>
      <c r="I6" s="10"/>
      <c r="J6" s="10"/>
    </row>
    <row r="8" spans="1:108" ht="24.75" customHeight="1">
      <c r="B8" s="12" t="s">
        <v>83</v>
      </c>
      <c r="C8" s="12"/>
      <c r="D8" s="12"/>
      <c r="E8" s="12"/>
      <c r="F8" s="12" t="s">
        <v>84</v>
      </c>
      <c r="G8" s="12" t="s">
        <v>85</v>
      </c>
      <c r="H8" s="12" t="s">
        <v>86</v>
      </c>
      <c r="I8" s="12" t="s">
        <v>87</v>
      </c>
      <c r="J8" s="12" t="s">
        <v>88</v>
      </c>
      <c r="K8" s="13" t="s">
        <v>89</v>
      </c>
      <c r="L8" s="13"/>
      <c r="M8" s="13"/>
      <c r="N8" s="13"/>
      <c r="O8" s="13"/>
      <c r="P8" s="13"/>
      <c r="Q8" s="13"/>
      <c r="R8" s="14" t="s">
        <v>90</v>
      </c>
      <c r="S8" s="14"/>
      <c r="T8" s="14"/>
      <c r="U8" s="14"/>
      <c r="V8" s="14"/>
      <c r="W8" s="14"/>
      <c r="X8" s="14"/>
      <c r="Y8" s="13" t="s">
        <v>91</v>
      </c>
      <c r="Z8" s="13"/>
      <c r="AA8" s="13"/>
      <c r="AB8" s="13"/>
      <c r="AC8" s="13"/>
      <c r="AD8" s="13"/>
      <c r="AE8" s="13"/>
      <c r="AF8" s="14" t="s">
        <v>92</v>
      </c>
      <c r="AG8" s="14"/>
      <c r="AH8" s="14"/>
      <c r="AI8" s="14"/>
      <c r="AJ8" s="14"/>
      <c r="AK8" s="14"/>
      <c r="AL8" s="14"/>
      <c r="AM8" s="13" t="s">
        <v>93</v>
      </c>
      <c r="AN8" s="13"/>
      <c r="AO8" s="13"/>
      <c r="AP8" s="13"/>
      <c r="AQ8" s="13"/>
      <c r="AR8" s="13"/>
      <c r="AS8" s="13"/>
      <c r="AT8" s="14" t="s">
        <v>94</v>
      </c>
      <c r="AU8" s="14"/>
      <c r="AV8" s="14"/>
      <c r="AW8" s="14"/>
      <c r="AX8" s="14"/>
      <c r="AY8" s="14"/>
      <c r="AZ8" s="14"/>
      <c r="BA8" s="13" t="s">
        <v>95</v>
      </c>
      <c r="BB8" s="13"/>
      <c r="BC8" s="13"/>
      <c r="BD8" s="13"/>
      <c r="BE8" s="13"/>
      <c r="BF8" s="13"/>
      <c r="BG8" s="13"/>
      <c r="BH8" s="14" t="s">
        <v>96</v>
      </c>
      <c r="BI8" s="14"/>
      <c r="BJ8" s="14"/>
      <c r="BK8" s="14"/>
      <c r="BL8" s="14"/>
      <c r="BM8" s="14"/>
      <c r="BN8" s="14"/>
      <c r="BO8" s="13" t="s">
        <v>97</v>
      </c>
      <c r="BP8" s="13"/>
      <c r="BQ8" s="13"/>
      <c r="BR8" s="13"/>
      <c r="BS8" s="13"/>
      <c r="BT8" s="13"/>
      <c r="BU8" s="13"/>
      <c r="BV8" s="14" t="s">
        <v>98</v>
      </c>
      <c r="BW8" s="14"/>
      <c r="BX8" s="14"/>
      <c r="BY8" s="14"/>
      <c r="BZ8" s="14"/>
      <c r="CA8" s="14"/>
      <c r="CB8" s="14"/>
      <c r="CC8" s="13" t="s">
        <v>99</v>
      </c>
      <c r="CD8" s="13"/>
      <c r="CE8" s="13"/>
      <c r="CF8" s="13"/>
      <c r="CG8" s="13"/>
      <c r="CH8" s="13"/>
      <c r="CI8" s="13"/>
      <c r="CJ8" s="14" t="s">
        <v>100</v>
      </c>
      <c r="CK8" s="14"/>
      <c r="CL8" s="14"/>
      <c r="CM8" s="14"/>
      <c r="CN8" s="14"/>
      <c r="CO8" s="14"/>
      <c r="CP8" s="14"/>
      <c r="CQ8" s="13" t="s">
        <v>101</v>
      </c>
      <c r="CR8" s="13"/>
      <c r="CS8" s="13"/>
      <c r="CT8" s="13"/>
      <c r="CU8" s="13"/>
      <c r="CV8" s="13"/>
      <c r="CW8" s="13"/>
      <c r="CX8" s="14" t="s">
        <v>102</v>
      </c>
      <c r="CY8" s="14"/>
      <c r="CZ8" s="14"/>
      <c r="DA8" s="14"/>
      <c r="DB8" s="14"/>
      <c r="DC8" s="14"/>
      <c r="DD8" s="14"/>
    </row>
    <row r="9" spans="1:108" ht="18.75" customHeight="1">
      <c r="B9" s="12"/>
      <c r="C9" s="12"/>
      <c r="D9" s="12"/>
      <c r="E9" s="12"/>
      <c r="F9" s="12"/>
      <c r="G9" s="12"/>
      <c r="H9" s="12"/>
      <c r="I9" s="12"/>
      <c r="J9" s="12"/>
      <c r="K9" s="15" t="s">
        <v>103</v>
      </c>
      <c r="L9" s="15" t="s">
        <v>104</v>
      </c>
      <c r="M9" s="15" t="s">
        <v>105</v>
      </c>
      <c r="N9" s="15" t="s">
        <v>106</v>
      </c>
      <c r="O9" s="15" t="s">
        <v>107</v>
      </c>
      <c r="P9" s="16" t="s">
        <v>108</v>
      </c>
      <c r="Q9" s="16" t="s">
        <v>109</v>
      </c>
      <c r="R9" s="15" t="s">
        <v>103</v>
      </c>
      <c r="S9" s="15" t="s">
        <v>104</v>
      </c>
      <c r="T9" s="15" t="s">
        <v>105</v>
      </c>
      <c r="U9" s="15" t="s">
        <v>106</v>
      </c>
      <c r="V9" s="15" t="s">
        <v>107</v>
      </c>
      <c r="W9" s="16" t="s">
        <v>108</v>
      </c>
      <c r="X9" s="16" t="s">
        <v>109</v>
      </c>
      <c r="Y9" s="15" t="s">
        <v>103</v>
      </c>
      <c r="Z9" s="15" t="s">
        <v>104</v>
      </c>
      <c r="AA9" s="15" t="s">
        <v>105</v>
      </c>
      <c r="AB9" s="15" t="s">
        <v>106</v>
      </c>
      <c r="AC9" s="15" t="s">
        <v>107</v>
      </c>
      <c r="AD9" s="16" t="s">
        <v>108</v>
      </c>
      <c r="AE9" s="16" t="s">
        <v>109</v>
      </c>
      <c r="AF9" s="15" t="s">
        <v>103</v>
      </c>
      <c r="AG9" s="15" t="s">
        <v>104</v>
      </c>
      <c r="AH9" s="15" t="s">
        <v>105</v>
      </c>
      <c r="AI9" s="15" t="s">
        <v>106</v>
      </c>
      <c r="AJ9" s="15" t="s">
        <v>107</v>
      </c>
      <c r="AK9" s="16" t="s">
        <v>108</v>
      </c>
      <c r="AL9" s="16" t="s">
        <v>109</v>
      </c>
      <c r="AM9" s="15" t="s">
        <v>103</v>
      </c>
      <c r="AN9" s="15" t="s">
        <v>104</v>
      </c>
      <c r="AO9" s="15" t="s">
        <v>105</v>
      </c>
      <c r="AP9" s="15" t="s">
        <v>106</v>
      </c>
      <c r="AQ9" s="15" t="s">
        <v>107</v>
      </c>
      <c r="AR9" s="16" t="s">
        <v>108</v>
      </c>
      <c r="AS9" s="16" t="s">
        <v>109</v>
      </c>
      <c r="AT9" s="15" t="s">
        <v>103</v>
      </c>
      <c r="AU9" s="15" t="s">
        <v>104</v>
      </c>
      <c r="AV9" s="15" t="s">
        <v>105</v>
      </c>
      <c r="AW9" s="15" t="s">
        <v>106</v>
      </c>
      <c r="AX9" s="15" t="s">
        <v>107</v>
      </c>
      <c r="AY9" s="16" t="s">
        <v>108</v>
      </c>
      <c r="AZ9" s="16" t="s">
        <v>109</v>
      </c>
      <c r="BA9" s="15" t="s">
        <v>103</v>
      </c>
      <c r="BB9" s="15" t="s">
        <v>104</v>
      </c>
      <c r="BC9" s="15" t="s">
        <v>105</v>
      </c>
      <c r="BD9" s="15" t="s">
        <v>106</v>
      </c>
      <c r="BE9" s="15" t="s">
        <v>107</v>
      </c>
      <c r="BF9" s="16" t="s">
        <v>108</v>
      </c>
      <c r="BG9" s="16" t="s">
        <v>109</v>
      </c>
      <c r="BH9" s="15" t="s">
        <v>103</v>
      </c>
      <c r="BI9" s="15" t="s">
        <v>104</v>
      </c>
      <c r="BJ9" s="15" t="s">
        <v>105</v>
      </c>
      <c r="BK9" s="15" t="s">
        <v>106</v>
      </c>
      <c r="BL9" s="15" t="s">
        <v>107</v>
      </c>
      <c r="BM9" s="16" t="s">
        <v>108</v>
      </c>
      <c r="BN9" s="16" t="s">
        <v>109</v>
      </c>
      <c r="BO9" s="15" t="s">
        <v>103</v>
      </c>
      <c r="BP9" s="15" t="s">
        <v>104</v>
      </c>
      <c r="BQ9" s="15" t="s">
        <v>105</v>
      </c>
      <c r="BR9" s="15" t="s">
        <v>106</v>
      </c>
      <c r="BS9" s="15" t="s">
        <v>107</v>
      </c>
      <c r="BT9" s="16" t="s">
        <v>108</v>
      </c>
      <c r="BU9" s="16" t="s">
        <v>109</v>
      </c>
      <c r="BV9" s="15" t="s">
        <v>103</v>
      </c>
      <c r="BW9" s="15" t="s">
        <v>104</v>
      </c>
      <c r="BX9" s="15" t="s">
        <v>105</v>
      </c>
      <c r="BY9" s="15" t="s">
        <v>106</v>
      </c>
      <c r="BZ9" s="15" t="s">
        <v>107</v>
      </c>
      <c r="CA9" s="16" t="s">
        <v>108</v>
      </c>
      <c r="CB9" s="16" t="s">
        <v>109</v>
      </c>
      <c r="CC9" s="15" t="s">
        <v>103</v>
      </c>
      <c r="CD9" s="15" t="s">
        <v>104</v>
      </c>
      <c r="CE9" s="15" t="s">
        <v>105</v>
      </c>
      <c r="CF9" s="15" t="s">
        <v>106</v>
      </c>
      <c r="CG9" s="15" t="s">
        <v>107</v>
      </c>
      <c r="CH9" s="16" t="s">
        <v>108</v>
      </c>
      <c r="CI9" s="16" t="s">
        <v>109</v>
      </c>
      <c r="CJ9" s="15" t="s">
        <v>103</v>
      </c>
      <c r="CK9" s="15" t="s">
        <v>104</v>
      </c>
      <c r="CL9" s="15" t="s">
        <v>105</v>
      </c>
      <c r="CM9" s="15" t="s">
        <v>106</v>
      </c>
      <c r="CN9" s="15" t="s">
        <v>107</v>
      </c>
      <c r="CO9" s="16" t="s">
        <v>108</v>
      </c>
      <c r="CP9" s="16" t="s">
        <v>109</v>
      </c>
      <c r="CQ9" s="15" t="s">
        <v>103</v>
      </c>
      <c r="CR9" s="15" t="s">
        <v>104</v>
      </c>
      <c r="CS9" s="15" t="s">
        <v>105</v>
      </c>
      <c r="CT9" s="15" t="s">
        <v>106</v>
      </c>
      <c r="CU9" s="15" t="s">
        <v>107</v>
      </c>
      <c r="CV9" s="16" t="s">
        <v>108</v>
      </c>
      <c r="CW9" s="16" t="s">
        <v>109</v>
      </c>
      <c r="CX9" s="15" t="s">
        <v>103</v>
      </c>
      <c r="CY9" s="15" t="s">
        <v>104</v>
      </c>
      <c r="CZ9" s="15" t="s">
        <v>105</v>
      </c>
      <c r="DA9" s="15" t="s">
        <v>106</v>
      </c>
      <c r="DB9" s="15" t="s">
        <v>107</v>
      </c>
      <c r="DC9" s="16" t="s">
        <v>108</v>
      </c>
      <c r="DD9" s="16" t="s">
        <v>109</v>
      </c>
    </row>
    <row r="10" spans="1:108" ht="35.25" customHeight="1">
      <c r="B10" s="12"/>
      <c r="C10" s="12"/>
      <c r="D10" s="12"/>
      <c r="E10" s="12"/>
      <c r="F10" s="12"/>
      <c r="G10" s="12"/>
      <c r="H10" s="12"/>
      <c r="I10" s="12"/>
      <c r="J10" s="12"/>
      <c r="K10" s="17">
        <v>46321</v>
      </c>
      <c r="L10" s="17">
        <v>46322</v>
      </c>
      <c r="M10" s="17">
        <v>46323</v>
      </c>
      <c r="N10" s="17">
        <v>46324</v>
      </c>
      <c r="O10" s="17">
        <v>46325</v>
      </c>
      <c r="P10" s="18">
        <v>46326</v>
      </c>
      <c r="Q10" s="18">
        <v>46327</v>
      </c>
      <c r="R10" s="17">
        <v>46328</v>
      </c>
      <c r="S10" s="17">
        <v>46329</v>
      </c>
      <c r="T10" s="17">
        <v>46330</v>
      </c>
      <c r="U10" s="17">
        <v>46331</v>
      </c>
      <c r="V10" s="17">
        <v>46332</v>
      </c>
      <c r="W10" s="18">
        <v>46333</v>
      </c>
      <c r="X10" s="18">
        <v>46334</v>
      </c>
      <c r="Y10" s="17">
        <v>46335</v>
      </c>
      <c r="Z10" s="17">
        <v>46336</v>
      </c>
      <c r="AA10" s="17">
        <v>46337</v>
      </c>
      <c r="AB10" s="17">
        <v>46338</v>
      </c>
      <c r="AC10" s="17">
        <v>46339</v>
      </c>
      <c r="AD10" s="18">
        <v>46340</v>
      </c>
      <c r="AE10" s="18">
        <v>46341</v>
      </c>
      <c r="AF10" s="17">
        <v>46342</v>
      </c>
      <c r="AG10" s="17">
        <v>46343</v>
      </c>
      <c r="AH10" s="17">
        <v>46344</v>
      </c>
      <c r="AI10" s="17">
        <v>46345</v>
      </c>
      <c r="AJ10" s="17">
        <v>46346</v>
      </c>
      <c r="AK10" s="18">
        <v>46347</v>
      </c>
      <c r="AL10" s="18">
        <v>46348</v>
      </c>
      <c r="AM10" s="17">
        <v>46349</v>
      </c>
      <c r="AN10" s="17">
        <v>46350</v>
      </c>
      <c r="AO10" s="17">
        <v>46351</v>
      </c>
      <c r="AP10" s="17">
        <v>46352</v>
      </c>
      <c r="AQ10" s="17">
        <v>46353</v>
      </c>
      <c r="AR10" s="18">
        <v>46354</v>
      </c>
      <c r="AS10" s="18">
        <v>46355</v>
      </c>
      <c r="AT10" s="17">
        <v>46356</v>
      </c>
      <c r="AU10" s="17">
        <v>46357</v>
      </c>
      <c r="AV10" s="17">
        <v>46358</v>
      </c>
      <c r="AW10" s="17">
        <v>46359</v>
      </c>
      <c r="AX10" s="17">
        <v>46360</v>
      </c>
      <c r="AY10" s="18">
        <v>46361</v>
      </c>
      <c r="AZ10" s="18">
        <v>46362</v>
      </c>
      <c r="BA10" s="17">
        <v>46363</v>
      </c>
      <c r="BB10" s="17">
        <v>46364</v>
      </c>
      <c r="BC10" s="17">
        <v>46365</v>
      </c>
      <c r="BD10" s="17">
        <v>46366</v>
      </c>
      <c r="BE10" s="17">
        <v>46367</v>
      </c>
      <c r="BF10" s="18">
        <v>46368</v>
      </c>
      <c r="BG10" s="18">
        <v>46369</v>
      </c>
      <c r="BH10" s="17">
        <v>46370</v>
      </c>
      <c r="BI10" s="17">
        <v>46371</v>
      </c>
      <c r="BJ10" s="17">
        <v>46372</v>
      </c>
      <c r="BK10" s="17">
        <v>46373</v>
      </c>
      <c r="BL10" s="17">
        <v>46374</v>
      </c>
      <c r="BM10" s="18">
        <v>46375</v>
      </c>
      <c r="BN10" s="18">
        <v>46376</v>
      </c>
      <c r="BO10" s="17">
        <v>46377</v>
      </c>
      <c r="BP10" s="17">
        <v>46378</v>
      </c>
      <c r="BQ10" s="17">
        <v>46379</v>
      </c>
      <c r="BR10" s="17">
        <v>46380</v>
      </c>
      <c r="BS10" s="17">
        <v>46381</v>
      </c>
      <c r="BT10" s="18">
        <v>46382</v>
      </c>
      <c r="BU10" s="18">
        <v>46383</v>
      </c>
      <c r="BV10" s="17">
        <v>46384</v>
      </c>
      <c r="BW10" s="17">
        <v>46385</v>
      </c>
      <c r="BX10" s="17">
        <v>46386</v>
      </c>
      <c r="BY10" s="17">
        <v>46387</v>
      </c>
      <c r="BZ10" s="17">
        <v>46388</v>
      </c>
      <c r="CA10" s="18">
        <v>46389</v>
      </c>
      <c r="CB10" s="18">
        <v>46390</v>
      </c>
      <c r="CC10" s="17">
        <v>46391</v>
      </c>
      <c r="CD10" s="17">
        <v>46392</v>
      </c>
      <c r="CE10" s="17">
        <v>46393</v>
      </c>
      <c r="CF10" s="17">
        <v>46394</v>
      </c>
      <c r="CG10" s="17">
        <v>46395</v>
      </c>
      <c r="CH10" s="18">
        <v>46396</v>
      </c>
      <c r="CI10" s="18">
        <v>46397</v>
      </c>
      <c r="CJ10" s="17">
        <v>46398</v>
      </c>
      <c r="CK10" s="17">
        <v>46399</v>
      </c>
      <c r="CL10" s="17">
        <v>46400</v>
      </c>
      <c r="CM10" s="17">
        <v>46401</v>
      </c>
      <c r="CN10" s="17">
        <v>46402</v>
      </c>
      <c r="CO10" s="18">
        <v>46403</v>
      </c>
      <c r="CP10" s="18">
        <v>46404</v>
      </c>
      <c r="CQ10" s="17">
        <v>46405</v>
      </c>
      <c r="CR10" s="17">
        <v>46406</v>
      </c>
      <c r="CS10" s="17">
        <v>46407</v>
      </c>
      <c r="CT10" s="17">
        <v>46408</v>
      </c>
      <c r="CU10" s="17">
        <v>46409</v>
      </c>
      <c r="CV10" s="18">
        <v>46410</v>
      </c>
      <c r="CW10" s="18">
        <v>46411</v>
      </c>
      <c r="CX10" s="17">
        <v>46412</v>
      </c>
      <c r="CY10" s="17">
        <v>46413</v>
      </c>
      <c r="CZ10" s="17">
        <v>46414</v>
      </c>
      <c r="DA10" s="17">
        <v>46415</v>
      </c>
      <c r="DB10" s="17">
        <v>46416</v>
      </c>
      <c r="DC10" s="18">
        <v>46417</v>
      </c>
      <c r="DD10" s="18">
        <v>46418</v>
      </c>
    </row>
    <row r="11" spans="1:108" ht="87.75" customHeight="1">
      <c r="B11" s="19" t="s">
        <v>11</v>
      </c>
      <c r="C11" s="19"/>
      <c r="D11" s="19"/>
      <c r="E11" s="19" t="s">
        <v>12</v>
      </c>
      <c r="F11" s="20">
        <v>46321</v>
      </c>
      <c r="G11" s="20">
        <v>46325</v>
      </c>
      <c r="H11" s="19" t="s">
        <v>110</v>
      </c>
      <c r="I11" s="19" t="s">
        <v>13</v>
      </c>
      <c r="J11" s="19" t="str">
        <f>'WBS'!J11</f>
        <v>Not Started</v>
      </c>
      <c r="K11" s="21" t="s">
        <v>111</v>
      </c>
      <c r="L11" s="21" t="s">
        <v>111</v>
      </c>
      <c r="M11" s="21" t="s">
        <v>111</v>
      </c>
      <c r="N11" s="21" t="s">
        <v>111</v>
      </c>
      <c r="O11" s="21" t="s">
        <v>111</v>
      </c>
    </row>
    <row r="12" spans="1:108" ht="62.25" customHeight="1">
      <c r="D12" s="22" t="s">
        <v>112</v>
      </c>
      <c r="E12" s="22" t="s">
        <v>113</v>
      </c>
      <c r="F12" s="23">
        <v>46324</v>
      </c>
      <c r="G12" s="23">
        <v>46324</v>
      </c>
      <c r="H12" s="22" t="s">
        <v>110</v>
      </c>
      <c r="I12" s="22" t="s">
        <v>114</v>
      </c>
      <c r="J12" s="24" t="str">
        <f>'WBS'!J16</f>
        <v>Not Started</v>
      </c>
      <c r="N12" s="25" t="s">
        <v>115</v>
      </c>
    </row>
    <row r="13" spans="1:108" ht="87.75" customHeight="1">
      <c r="B13" s="19" t="s">
        <v>16</v>
      </c>
      <c r="C13" s="19"/>
      <c r="D13" s="19"/>
      <c r="E13" s="19" t="s">
        <v>17</v>
      </c>
      <c r="F13" s="20">
        <v>46328</v>
      </c>
      <c r="G13" s="20">
        <v>46332</v>
      </c>
      <c r="H13" s="19" t="s">
        <v>110</v>
      </c>
      <c r="I13" s="19" t="s">
        <v>18</v>
      </c>
      <c r="J13" s="19" t="str">
        <f>'WBS'!J18</f>
        <v>Not Started</v>
      </c>
      <c r="R13" s="21" t="s">
        <v>111</v>
      </c>
      <c r="S13" s="21" t="s">
        <v>111</v>
      </c>
      <c r="T13" s="21" t="s">
        <v>111</v>
      </c>
      <c r="U13" s="21" t="s">
        <v>111</v>
      </c>
      <c r="V13" s="21" t="s">
        <v>111</v>
      </c>
    </row>
    <row r="14" spans="1:108" ht="62.25" customHeight="1">
      <c r="D14" s="22" t="s">
        <v>116</v>
      </c>
      <c r="E14" s="22" t="s">
        <v>117</v>
      </c>
      <c r="F14" s="23">
        <v>46331</v>
      </c>
      <c r="G14" s="23">
        <v>46331</v>
      </c>
      <c r="H14" s="22" t="s">
        <v>110</v>
      </c>
      <c r="I14" s="22" t="s">
        <v>118</v>
      </c>
      <c r="J14" s="24" t="str">
        <f>'WBS'!J23</f>
        <v>Not Started</v>
      </c>
      <c r="U14" s="25" t="s">
        <v>115</v>
      </c>
    </row>
    <row r="15" spans="1:108" ht="87.75" customHeight="1">
      <c r="B15" s="19" t="s">
        <v>21</v>
      </c>
      <c r="C15" s="19"/>
      <c r="D15" s="19"/>
      <c r="E15" s="19" t="s">
        <v>22</v>
      </c>
      <c r="F15" s="20">
        <v>46335</v>
      </c>
      <c r="G15" s="20">
        <v>46346</v>
      </c>
      <c r="H15" s="19" t="s">
        <v>110</v>
      </c>
      <c r="I15" s="19" t="s">
        <v>23</v>
      </c>
      <c r="J15" s="19" t="str">
        <f>'WBS'!J25</f>
        <v>Not Started</v>
      </c>
      <c r="Y15" s="21" t="s">
        <v>111</v>
      </c>
      <c r="Z15" s="21" t="s">
        <v>111</v>
      </c>
      <c r="AA15" s="21" t="s">
        <v>111</v>
      </c>
      <c r="AB15" s="21" t="s">
        <v>111</v>
      </c>
      <c r="AC15" s="21" t="s">
        <v>111</v>
      </c>
      <c r="AF15" s="21" t="s">
        <v>111</v>
      </c>
      <c r="AG15" s="21" t="s">
        <v>111</v>
      </c>
      <c r="AH15" s="21" t="s">
        <v>111</v>
      </c>
      <c r="AI15" s="21" t="s">
        <v>111</v>
      </c>
      <c r="AJ15" s="21" t="s">
        <v>111</v>
      </c>
    </row>
    <row r="16" spans="1:108" ht="62.25" customHeight="1">
      <c r="D16" s="22" t="s">
        <v>119</v>
      </c>
      <c r="E16" s="22" t="s">
        <v>120</v>
      </c>
      <c r="F16" s="23">
        <v>46345</v>
      </c>
      <c r="G16" s="23">
        <v>46345</v>
      </c>
      <c r="H16" s="22" t="s">
        <v>110</v>
      </c>
      <c r="I16" s="22" t="s">
        <v>121</v>
      </c>
      <c r="J16" s="24" t="str">
        <f>'WBS'!J34</f>
        <v>Not Started</v>
      </c>
      <c r="AI16" s="25" t="s">
        <v>115</v>
      </c>
    </row>
    <row r="17" spans="2:106" ht="87.75" customHeight="1">
      <c r="B17" s="19" t="s">
        <v>26</v>
      </c>
      <c r="C17" s="19"/>
      <c r="D17" s="19"/>
      <c r="E17" s="19" t="s">
        <v>27</v>
      </c>
      <c r="F17" s="20">
        <v>46349</v>
      </c>
      <c r="G17" s="20">
        <v>46360</v>
      </c>
      <c r="H17" s="19" t="s">
        <v>110</v>
      </c>
      <c r="I17" s="19" t="s">
        <v>28</v>
      </c>
      <c r="J17" s="19" t="str">
        <f>'WBS'!J36</f>
        <v>Not Started</v>
      </c>
      <c r="AM17" s="21" t="s">
        <v>111</v>
      </c>
      <c r="AN17" s="21" t="s">
        <v>111</v>
      </c>
      <c r="AO17" s="21" t="s">
        <v>111</v>
      </c>
      <c r="AP17" s="21" t="s">
        <v>111</v>
      </c>
      <c r="AQ17" s="21" t="s">
        <v>111</v>
      </c>
      <c r="AT17" s="21" t="s">
        <v>111</v>
      </c>
      <c r="AU17" s="21" t="s">
        <v>111</v>
      </c>
      <c r="AV17" s="21" t="s">
        <v>111</v>
      </c>
      <c r="AW17" s="21" t="s">
        <v>111</v>
      </c>
      <c r="AX17" s="21" t="s">
        <v>111</v>
      </c>
    </row>
    <row r="18" spans="2:106" ht="62.25" customHeight="1">
      <c r="D18" s="22" t="s">
        <v>122</v>
      </c>
      <c r="E18" s="22" t="s">
        <v>123</v>
      </c>
      <c r="F18" s="23">
        <v>46359</v>
      </c>
      <c r="G18" s="23">
        <v>46359</v>
      </c>
      <c r="H18" s="22" t="s">
        <v>110</v>
      </c>
      <c r="I18" s="22" t="s">
        <v>124</v>
      </c>
      <c r="J18" s="24" t="str">
        <f>'WBS'!J45</f>
        <v>Not Started</v>
      </c>
      <c r="AW18" s="25" t="s">
        <v>115</v>
      </c>
    </row>
    <row r="19" spans="2:106" ht="87.75" customHeight="1">
      <c r="B19" s="19" t="s">
        <v>31</v>
      </c>
      <c r="C19" s="19"/>
      <c r="D19" s="19"/>
      <c r="E19" s="19" t="s">
        <v>32</v>
      </c>
      <c r="F19" s="20">
        <v>46363</v>
      </c>
      <c r="G19" s="20">
        <v>46374</v>
      </c>
      <c r="H19" s="19" t="s">
        <v>110</v>
      </c>
      <c r="I19" s="19" t="s">
        <v>33</v>
      </c>
      <c r="J19" s="19" t="str">
        <f>'WBS'!J47</f>
        <v>Not Started</v>
      </c>
      <c r="BA19" s="21" t="s">
        <v>111</v>
      </c>
      <c r="BB19" s="21" t="s">
        <v>111</v>
      </c>
      <c r="BC19" s="21" t="s">
        <v>111</v>
      </c>
      <c r="BD19" s="21" t="s">
        <v>111</v>
      </c>
      <c r="BE19" s="21" t="s">
        <v>111</v>
      </c>
      <c r="BH19" s="21" t="s">
        <v>111</v>
      </c>
      <c r="BI19" s="21" t="s">
        <v>111</v>
      </c>
      <c r="BJ19" s="21" t="s">
        <v>111</v>
      </c>
      <c r="BK19" s="21" t="s">
        <v>111</v>
      </c>
      <c r="BL19" s="21" t="s">
        <v>111</v>
      </c>
    </row>
    <row r="20" spans="2:106" ht="62.25" customHeight="1">
      <c r="D20" s="22" t="s">
        <v>125</v>
      </c>
      <c r="E20" s="22" t="s">
        <v>126</v>
      </c>
      <c r="F20" s="23">
        <v>46373</v>
      </c>
      <c r="G20" s="23">
        <v>46373</v>
      </c>
      <c r="H20" s="22" t="s">
        <v>110</v>
      </c>
      <c r="I20" s="22" t="s">
        <v>127</v>
      </c>
      <c r="J20" s="24" t="str">
        <f>'WBS'!J55</f>
        <v>Not Started</v>
      </c>
      <c r="BK20" s="25" t="s">
        <v>115</v>
      </c>
    </row>
    <row r="21" spans="2:106" ht="87.75" customHeight="1">
      <c r="B21" s="19" t="s">
        <v>36</v>
      </c>
      <c r="C21" s="19"/>
      <c r="D21" s="19"/>
      <c r="E21" s="19" t="s">
        <v>37</v>
      </c>
      <c r="F21" s="20">
        <v>46377</v>
      </c>
      <c r="G21" s="20">
        <v>46381</v>
      </c>
      <c r="H21" s="19" t="s">
        <v>110</v>
      </c>
      <c r="I21" s="19" t="s">
        <v>38</v>
      </c>
      <c r="J21" s="19" t="str">
        <f>'WBS'!J57</f>
        <v>Not Started</v>
      </c>
      <c r="BO21" s="21" t="s">
        <v>111</v>
      </c>
      <c r="BP21" s="21" t="s">
        <v>111</v>
      </c>
      <c r="BQ21" s="21" t="s">
        <v>111</v>
      </c>
      <c r="BR21" s="21" t="s">
        <v>111</v>
      </c>
      <c r="BS21" s="21" t="s">
        <v>111</v>
      </c>
    </row>
    <row r="22" spans="2:106" ht="62.25" customHeight="1">
      <c r="D22" s="22" t="s">
        <v>128</v>
      </c>
      <c r="E22" s="22" t="s">
        <v>129</v>
      </c>
      <c r="F22" s="23">
        <v>46380</v>
      </c>
      <c r="G22" s="23">
        <v>46380</v>
      </c>
      <c r="H22" s="22" t="s">
        <v>110</v>
      </c>
      <c r="I22" s="22" t="s">
        <v>130</v>
      </c>
      <c r="J22" s="24" t="str">
        <f>'WBS'!J62</f>
        <v>Not Started</v>
      </c>
      <c r="BR22" s="25" t="s">
        <v>115</v>
      </c>
    </row>
    <row r="23" spans="2:106" ht="87.75" customHeight="1">
      <c r="B23" s="19" t="s">
        <v>41</v>
      </c>
      <c r="C23" s="19"/>
      <c r="D23" s="19"/>
      <c r="E23" s="19" t="s">
        <v>42</v>
      </c>
      <c r="F23" s="20">
        <v>46384</v>
      </c>
      <c r="G23" s="20">
        <v>46395</v>
      </c>
      <c r="H23" s="19" t="s">
        <v>110</v>
      </c>
      <c r="I23" s="19" t="s">
        <v>43</v>
      </c>
      <c r="J23" s="19" t="str">
        <f>'WBS'!J64</f>
        <v>Not Started</v>
      </c>
      <c r="BV23" s="21" t="s">
        <v>111</v>
      </c>
      <c r="BW23" s="21" t="s">
        <v>111</v>
      </c>
      <c r="BX23" s="21" t="s">
        <v>111</v>
      </c>
      <c r="BY23" s="21" t="s">
        <v>111</v>
      </c>
      <c r="BZ23" s="21" t="s">
        <v>111</v>
      </c>
      <c r="CC23" s="21" t="s">
        <v>111</v>
      </c>
      <c r="CD23" s="21" t="s">
        <v>111</v>
      </c>
      <c r="CE23" s="21" t="s">
        <v>111</v>
      </c>
      <c r="CF23" s="21" t="s">
        <v>111</v>
      </c>
      <c r="CG23" s="21" t="s">
        <v>111</v>
      </c>
    </row>
    <row r="24" spans="2:106" ht="62.25" customHeight="1">
      <c r="D24" s="22" t="s">
        <v>131</v>
      </c>
      <c r="E24" s="22" t="s">
        <v>132</v>
      </c>
      <c r="F24" s="23">
        <v>46395</v>
      </c>
      <c r="G24" s="23">
        <v>46395</v>
      </c>
      <c r="H24" s="22" t="s">
        <v>110</v>
      </c>
      <c r="I24" s="22" t="s">
        <v>133</v>
      </c>
      <c r="J24" s="24" t="str">
        <f>'WBS'!J74</f>
        <v>Not Started</v>
      </c>
      <c r="CG24" s="25" t="s">
        <v>115</v>
      </c>
    </row>
    <row r="25" spans="2:106" ht="87.75" customHeight="1">
      <c r="B25" s="19" t="s">
        <v>46</v>
      </c>
      <c r="C25" s="19"/>
      <c r="D25" s="19"/>
      <c r="E25" s="19" t="s">
        <v>47</v>
      </c>
      <c r="F25" s="20">
        <v>46398</v>
      </c>
      <c r="G25" s="20">
        <v>46402</v>
      </c>
      <c r="H25" s="19" t="s">
        <v>110</v>
      </c>
      <c r="I25" s="19" t="s">
        <v>48</v>
      </c>
      <c r="J25" s="19" t="str">
        <f>'WBS'!J76</f>
        <v>Not Started</v>
      </c>
      <c r="CJ25" s="21" t="s">
        <v>111</v>
      </c>
      <c r="CK25" s="21" t="s">
        <v>111</v>
      </c>
      <c r="CL25" s="21" t="s">
        <v>111</v>
      </c>
      <c r="CM25" s="21" t="s">
        <v>111</v>
      </c>
      <c r="CN25" s="21" t="s">
        <v>111</v>
      </c>
    </row>
    <row r="26" spans="2:106" ht="62.25" customHeight="1">
      <c r="D26" s="22" t="s">
        <v>134</v>
      </c>
      <c r="E26" s="22" t="s">
        <v>135</v>
      </c>
      <c r="F26" s="23">
        <v>46401</v>
      </c>
      <c r="G26" s="23">
        <v>46401</v>
      </c>
      <c r="H26" s="22" t="s">
        <v>110</v>
      </c>
      <c r="I26" s="22" t="s">
        <v>136</v>
      </c>
      <c r="J26" s="24" t="str">
        <f>'WBS'!J82</f>
        <v>Not Started</v>
      </c>
      <c r="CM26" s="25" t="s">
        <v>115</v>
      </c>
    </row>
    <row r="27" spans="2:106" ht="87.75" customHeight="1">
      <c r="B27" s="19" t="s">
        <v>51</v>
      </c>
      <c r="C27" s="19"/>
      <c r="D27" s="19"/>
      <c r="E27" s="19" t="s">
        <v>52</v>
      </c>
      <c r="F27" s="20">
        <v>46405</v>
      </c>
      <c r="G27" s="20">
        <v>46416</v>
      </c>
      <c r="H27" s="19" t="s">
        <v>110</v>
      </c>
      <c r="I27" s="19" t="s">
        <v>53</v>
      </c>
      <c r="J27" s="19" t="str">
        <f>'WBS'!J84</f>
        <v>Not Started</v>
      </c>
      <c r="CQ27" s="21" t="s">
        <v>111</v>
      </c>
      <c r="CR27" s="21" t="s">
        <v>111</v>
      </c>
      <c r="CS27" s="21" t="s">
        <v>111</v>
      </c>
      <c r="CT27" s="21" t="s">
        <v>111</v>
      </c>
      <c r="CU27" s="21" t="s">
        <v>111</v>
      </c>
      <c r="CX27" s="21" t="s">
        <v>111</v>
      </c>
      <c r="CY27" s="21" t="s">
        <v>111</v>
      </c>
      <c r="CZ27" s="21" t="s">
        <v>111</v>
      </c>
      <c r="DA27" s="21" t="s">
        <v>111</v>
      </c>
      <c r="DB27" s="21" t="s">
        <v>111</v>
      </c>
    </row>
    <row r="28" spans="2:106" ht="62.25" customHeight="1">
      <c r="D28" s="22" t="s">
        <v>137</v>
      </c>
      <c r="E28" s="22" t="s">
        <v>138</v>
      </c>
      <c r="F28" s="23">
        <v>46414</v>
      </c>
      <c r="G28" s="23">
        <v>46414</v>
      </c>
      <c r="H28" s="22" t="s">
        <v>110</v>
      </c>
      <c r="I28" s="22" t="s">
        <v>139</v>
      </c>
      <c r="J28" s="24" t="str">
        <f>'WBS'!J93</f>
        <v>Not Started</v>
      </c>
      <c r="CZ28" s="25" t="s">
        <v>115</v>
      </c>
    </row>
  </sheetData>
  <mergeCells count="34">
    <mergeCell ref="A1:J1"/>
    <mergeCell ref="A2:J2"/>
    <mergeCell ref="B4:J4"/>
    <mergeCell ref="B5:J5"/>
    <mergeCell ref="B6:J6"/>
    <mergeCell ref="B8:E10"/>
    <mergeCell ref="F8:F10"/>
    <mergeCell ref="G8:G10"/>
    <mergeCell ref="H8:H10"/>
    <mergeCell ref="I8:I10"/>
    <mergeCell ref="J8:J10"/>
    <mergeCell ref="K8:Q8"/>
    <mergeCell ref="R8:X8"/>
    <mergeCell ref="Y8:AE8"/>
    <mergeCell ref="AF8:AL8"/>
    <mergeCell ref="AM8:AS8"/>
    <mergeCell ref="AT8:AZ8"/>
    <mergeCell ref="BA8:BG8"/>
    <mergeCell ref="BH8:BN8"/>
    <mergeCell ref="BO8:BU8"/>
    <mergeCell ref="BV8:CB8"/>
    <mergeCell ref="CC8:CI8"/>
    <mergeCell ref="CJ8:CP8"/>
    <mergeCell ref="CQ8:CW8"/>
    <mergeCell ref="CX8:DD8"/>
    <mergeCell ref="B11:D11"/>
    <mergeCell ref="B13:D13"/>
    <mergeCell ref="B15:D15"/>
    <mergeCell ref="B17:D17"/>
    <mergeCell ref="B19:D19"/>
    <mergeCell ref="B21:D21"/>
    <mergeCell ref="B23:D23"/>
    <mergeCell ref="B25:D25"/>
    <mergeCell ref="B27:D27"/>
  </mergeCells>
  <conditionalFormatting sqref="K11:DD11">
    <cfRule type="expression" dxfId="0" priority="1">
      <formula>AND($J11="Not Started",K11&lt;&gt;"")</formula>
    </cfRule>
    <cfRule type="expression" dxfId="1" priority="2">
      <formula>AND($J11="In Progress",K11&lt;&gt;"")</formula>
    </cfRule>
    <cfRule type="expression" dxfId="2" priority="3">
      <formula>AND($J11="Done",K11&lt;&gt;"")</formula>
    </cfRule>
    <cfRule type="expression" dxfId="3" priority="4">
      <formula>AND($J11="Blocked",K11&lt;&gt;"")</formula>
    </cfRule>
    <cfRule type="expression" dxfId="4" priority="5">
      <formula>AND($J11="Deferred",K11&lt;&gt;"")</formula>
    </cfRule>
    <cfRule type="expression" dxfId="5" priority="6">
      <formula>AND($J11="Contingency",K11&lt;&gt;"")</formula>
    </cfRule>
  </conditionalFormatting>
  <conditionalFormatting sqref="K12:DD12">
    <cfRule type="expression" dxfId="0" priority="7">
      <formula>AND($J12="Not Started",K12&lt;&gt;"")</formula>
    </cfRule>
    <cfRule type="expression" dxfId="1" priority="8">
      <formula>AND($J12="In Progress",K12&lt;&gt;"")</formula>
    </cfRule>
    <cfRule type="expression" dxfId="2" priority="9">
      <formula>AND($J12="Done",K12&lt;&gt;"")</formula>
    </cfRule>
    <cfRule type="expression" dxfId="3" priority="10">
      <formula>AND($J12="Blocked",K12&lt;&gt;"")</formula>
    </cfRule>
    <cfRule type="expression" dxfId="4" priority="11">
      <formula>AND($J12="Deferred",K12&lt;&gt;"")</formula>
    </cfRule>
    <cfRule type="expression" dxfId="5" priority="12">
      <formula>AND($J12="Contingency",K12&lt;&gt;"")</formula>
    </cfRule>
  </conditionalFormatting>
  <conditionalFormatting sqref="K13:DD13">
    <cfRule type="expression" dxfId="0" priority="13">
      <formula>AND($J13="Not Started",K13&lt;&gt;"")</formula>
    </cfRule>
    <cfRule type="expression" dxfId="1" priority="14">
      <formula>AND($J13="In Progress",K13&lt;&gt;"")</formula>
    </cfRule>
    <cfRule type="expression" dxfId="2" priority="15">
      <formula>AND($J13="Done",K13&lt;&gt;"")</formula>
    </cfRule>
    <cfRule type="expression" dxfId="3" priority="16">
      <formula>AND($J13="Blocked",K13&lt;&gt;"")</formula>
    </cfRule>
    <cfRule type="expression" dxfId="4" priority="17">
      <formula>AND($J13="Deferred",K13&lt;&gt;"")</formula>
    </cfRule>
    <cfRule type="expression" dxfId="5" priority="18">
      <formula>AND($J13="Contingency",K13&lt;&gt;"")</formula>
    </cfRule>
  </conditionalFormatting>
  <conditionalFormatting sqref="K14:DD14">
    <cfRule type="expression" dxfId="0" priority="19">
      <formula>AND($J14="Not Started",K14&lt;&gt;"")</formula>
    </cfRule>
    <cfRule type="expression" dxfId="1" priority="20">
      <formula>AND($J14="In Progress",K14&lt;&gt;"")</formula>
    </cfRule>
    <cfRule type="expression" dxfId="2" priority="21">
      <formula>AND($J14="Done",K14&lt;&gt;"")</formula>
    </cfRule>
    <cfRule type="expression" dxfId="3" priority="22">
      <formula>AND($J14="Blocked",K14&lt;&gt;"")</formula>
    </cfRule>
    <cfRule type="expression" dxfId="4" priority="23">
      <formula>AND($J14="Deferred",K14&lt;&gt;"")</formula>
    </cfRule>
    <cfRule type="expression" dxfId="5" priority="24">
      <formula>AND($J14="Contingency",K14&lt;&gt;"")</formula>
    </cfRule>
  </conditionalFormatting>
  <conditionalFormatting sqref="K15:DD15">
    <cfRule type="expression" dxfId="0" priority="25">
      <formula>AND($J15="Not Started",K15&lt;&gt;"")</formula>
    </cfRule>
    <cfRule type="expression" dxfId="1" priority="26">
      <formula>AND($J15="In Progress",K15&lt;&gt;"")</formula>
    </cfRule>
    <cfRule type="expression" dxfId="2" priority="27">
      <formula>AND($J15="Done",K15&lt;&gt;"")</formula>
    </cfRule>
    <cfRule type="expression" dxfId="3" priority="28">
      <formula>AND($J15="Blocked",K15&lt;&gt;"")</formula>
    </cfRule>
    <cfRule type="expression" dxfId="4" priority="29">
      <formula>AND($J15="Deferred",K15&lt;&gt;"")</formula>
    </cfRule>
    <cfRule type="expression" dxfId="5" priority="30">
      <formula>AND($J15="Contingency",K15&lt;&gt;"")</formula>
    </cfRule>
  </conditionalFormatting>
  <conditionalFormatting sqref="K16:DD16">
    <cfRule type="expression" dxfId="0" priority="31">
      <formula>AND($J16="Not Started",K16&lt;&gt;"")</formula>
    </cfRule>
    <cfRule type="expression" dxfId="1" priority="32">
      <formula>AND($J16="In Progress",K16&lt;&gt;"")</formula>
    </cfRule>
    <cfRule type="expression" dxfId="2" priority="33">
      <formula>AND($J16="Done",K16&lt;&gt;"")</formula>
    </cfRule>
    <cfRule type="expression" dxfId="3" priority="34">
      <formula>AND($J16="Blocked",K16&lt;&gt;"")</formula>
    </cfRule>
    <cfRule type="expression" dxfId="4" priority="35">
      <formula>AND($J16="Deferred",K16&lt;&gt;"")</formula>
    </cfRule>
    <cfRule type="expression" dxfId="5" priority="36">
      <formula>AND($J16="Contingency",K16&lt;&gt;"")</formula>
    </cfRule>
  </conditionalFormatting>
  <conditionalFormatting sqref="K17:DD17">
    <cfRule type="expression" dxfId="0" priority="37">
      <formula>AND($J17="Not Started",K17&lt;&gt;"")</formula>
    </cfRule>
    <cfRule type="expression" dxfId="1" priority="38">
      <formula>AND($J17="In Progress",K17&lt;&gt;"")</formula>
    </cfRule>
    <cfRule type="expression" dxfId="2" priority="39">
      <formula>AND($J17="Done",K17&lt;&gt;"")</formula>
    </cfRule>
    <cfRule type="expression" dxfId="3" priority="40">
      <formula>AND($J17="Blocked",K17&lt;&gt;"")</formula>
    </cfRule>
    <cfRule type="expression" dxfId="4" priority="41">
      <formula>AND($J17="Deferred",K17&lt;&gt;"")</formula>
    </cfRule>
    <cfRule type="expression" dxfId="5" priority="42">
      <formula>AND($J17="Contingency",K17&lt;&gt;"")</formula>
    </cfRule>
  </conditionalFormatting>
  <conditionalFormatting sqref="K18:DD18">
    <cfRule type="expression" dxfId="0" priority="43">
      <formula>AND($J18="Not Started",K18&lt;&gt;"")</formula>
    </cfRule>
    <cfRule type="expression" dxfId="1" priority="44">
      <formula>AND($J18="In Progress",K18&lt;&gt;"")</formula>
    </cfRule>
    <cfRule type="expression" dxfId="2" priority="45">
      <formula>AND($J18="Done",K18&lt;&gt;"")</formula>
    </cfRule>
    <cfRule type="expression" dxfId="3" priority="46">
      <formula>AND($J18="Blocked",K18&lt;&gt;"")</formula>
    </cfRule>
    <cfRule type="expression" dxfId="4" priority="47">
      <formula>AND($J18="Deferred",K18&lt;&gt;"")</formula>
    </cfRule>
    <cfRule type="expression" dxfId="5" priority="48">
      <formula>AND($J18="Contingency",K18&lt;&gt;"")</formula>
    </cfRule>
  </conditionalFormatting>
  <conditionalFormatting sqref="K19:DD19">
    <cfRule type="expression" dxfId="0" priority="49">
      <formula>AND($J19="Not Started",K19&lt;&gt;"")</formula>
    </cfRule>
    <cfRule type="expression" dxfId="1" priority="50">
      <formula>AND($J19="In Progress",K19&lt;&gt;"")</formula>
    </cfRule>
    <cfRule type="expression" dxfId="2" priority="51">
      <formula>AND($J19="Done",K19&lt;&gt;"")</formula>
    </cfRule>
    <cfRule type="expression" dxfId="3" priority="52">
      <formula>AND($J19="Blocked",K19&lt;&gt;"")</formula>
    </cfRule>
    <cfRule type="expression" dxfId="4" priority="53">
      <formula>AND($J19="Deferred",K19&lt;&gt;"")</formula>
    </cfRule>
    <cfRule type="expression" dxfId="5" priority="54">
      <formula>AND($J19="Contingency",K19&lt;&gt;"")</formula>
    </cfRule>
  </conditionalFormatting>
  <conditionalFormatting sqref="K20:DD20">
    <cfRule type="expression" dxfId="0" priority="55">
      <formula>AND($J20="Not Started",K20&lt;&gt;"")</formula>
    </cfRule>
    <cfRule type="expression" dxfId="1" priority="56">
      <formula>AND($J20="In Progress",K20&lt;&gt;"")</formula>
    </cfRule>
    <cfRule type="expression" dxfId="2" priority="57">
      <formula>AND($J20="Done",K20&lt;&gt;"")</formula>
    </cfRule>
    <cfRule type="expression" dxfId="3" priority="58">
      <formula>AND($J20="Blocked",K20&lt;&gt;"")</formula>
    </cfRule>
    <cfRule type="expression" dxfId="4" priority="59">
      <formula>AND($J20="Deferred",K20&lt;&gt;"")</formula>
    </cfRule>
    <cfRule type="expression" dxfId="5" priority="60">
      <formula>AND($J20="Contingency",K20&lt;&gt;"")</formula>
    </cfRule>
  </conditionalFormatting>
  <conditionalFormatting sqref="K21:DD21">
    <cfRule type="expression" dxfId="0" priority="61">
      <formula>AND($J21="Not Started",K21&lt;&gt;"")</formula>
    </cfRule>
    <cfRule type="expression" dxfId="1" priority="62">
      <formula>AND($J21="In Progress",K21&lt;&gt;"")</formula>
    </cfRule>
    <cfRule type="expression" dxfId="2" priority="63">
      <formula>AND($J21="Done",K21&lt;&gt;"")</formula>
    </cfRule>
    <cfRule type="expression" dxfId="3" priority="64">
      <formula>AND($J21="Blocked",K21&lt;&gt;"")</formula>
    </cfRule>
    <cfRule type="expression" dxfId="4" priority="65">
      <formula>AND($J21="Deferred",K21&lt;&gt;"")</formula>
    </cfRule>
    <cfRule type="expression" dxfId="5" priority="66">
      <formula>AND($J21="Contingency",K21&lt;&gt;"")</formula>
    </cfRule>
  </conditionalFormatting>
  <conditionalFormatting sqref="K22:DD22">
    <cfRule type="expression" dxfId="0" priority="67">
      <formula>AND($J22="Not Started",K22&lt;&gt;"")</formula>
    </cfRule>
    <cfRule type="expression" dxfId="1" priority="68">
      <formula>AND($J22="In Progress",K22&lt;&gt;"")</formula>
    </cfRule>
    <cfRule type="expression" dxfId="2" priority="69">
      <formula>AND($J22="Done",K22&lt;&gt;"")</formula>
    </cfRule>
    <cfRule type="expression" dxfId="3" priority="70">
      <formula>AND($J22="Blocked",K22&lt;&gt;"")</formula>
    </cfRule>
    <cfRule type="expression" dxfId="4" priority="71">
      <formula>AND($J22="Deferred",K22&lt;&gt;"")</formula>
    </cfRule>
    <cfRule type="expression" dxfId="5" priority="72">
      <formula>AND($J22="Contingency",K22&lt;&gt;"")</formula>
    </cfRule>
  </conditionalFormatting>
  <conditionalFormatting sqref="K23:DD23">
    <cfRule type="expression" dxfId="0" priority="73">
      <formula>AND($J23="Not Started",K23&lt;&gt;"")</formula>
    </cfRule>
    <cfRule type="expression" dxfId="1" priority="74">
      <formula>AND($J23="In Progress",K23&lt;&gt;"")</formula>
    </cfRule>
    <cfRule type="expression" dxfId="2" priority="75">
      <formula>AND($J23="Done",K23&lt;&gt;"")</formula>
    </cfRule>
    <cfRule type="expression" dxfId="3" priority="76">
      <formula>AND($J23="Blocked",K23&lt;&gt;"")</formula>
    </cfRule>
    <cfRule type="expression" dxfId="4" priority="77">
      <formula>AND($J23="Deferred",K23&lt;&gt;"")</formula>
    </cfRule>
    <cfRule type="expression" dxfId="5" priority="78">
      <formula>AND($J23="Contingency",K23&lt;&gt;"")</formula>
    </cfRule>
  </conditionalFormatting>
  <conditionalFormatting sqref="K24:DD24">
    <cfRule type="expression" dxfId="0" priority="79">
      <formula>AND($J24="Not Started",K24&lt;&gt;"")</formula>
    </cfRule>
    <cfRule type="expression" dxfId="1" priority="80">
      <formula>AND($J24="In Progress",K24&lt;&gt;"")</formula>
    </cfRule>
    <cfRule type="expression" dxfId="2" priority="81">
      <formula>AND($J24="Done",K24&lt;&gt;"")</formula>
    </cfRule>
    <cfRule type="expression" dxfId="3" priority="82">
      <formula>AND($J24="Blocked",K24&lt;&gt;"")</formula>
    </cfRule>
    <cfRule type="expression" dxfId="4" priority="83">
      <formula>AND($J24="Deferred",K24&lt;&gt;"")</formula>
    </cfRule>
    <cfRule type="expression" dxfId="5" priority="84">
      <formula>AND($J24="Contingency",K24&lt;&gt;"")</formula>
    </cfRule>
  </conditionalFormatting>
  <conditionalFormatting sqref="K25:DD25">
    <cfRule type="expression" dxfId="0" priority="85">
      <formula>AND($J25="Not Started",K25&lt;&gt;"")</formula>
    </cfRule>
    <cfRule type="expression" dxfId="1" priority="86">
      <formula>AND($J25="In Progress",K25&lt;&gt;"")</formula>
    </cfRule>
    <cfRule type="expression" dxfId="2" priority="87">
      <formula>AND($J25="Done",K25&lt;&gt;"")</formula>
    </cfRule>
    <cfRule type="expression" dxfId="3" priority="88">
      <formula>AND($J25="Blocked",K25&lt;&gt;"")</formula>
    </cfRule>
    <cfRule type="expression" dxfId="4" priority="89">
      <formula>AND($J25="Deferred",K25&lt;&gt;"")</formula>
    </cfRule>
    <cfRule type="expression" dxfId="5" priority="90">
      <formula>AND($J25="Contingency",K25&lt;&gt;"")</formula>
    </cfRule>
  </conditionalFormatting>
  <conditionalFormatting sqref="K26:DD26">
    <cfRule type="expression" dxfId="0" priority="91">
      <formula>AND($J26="Not Started",K26&lt;&gt;"")</formula>
    </cfRule>
    <cfRule type="expression" dxfId="1" priority="92">
      <formula>AND($J26="In Progress",K26&lt;&gt;"")</formula>
    </cfRule>
    <cfRule type="expression" dxfId="2" priority="93">
      <formula>AND($J26="Done",K26&lt;&gt;"")</formula>
    </cfRule>
    <cfRule type="expression" dxfId="3" priority="94">
      <formula>AND($J26="Blocked",K26&lt;&gt;"")</formula>
    </cfRule>
    <cfRule type="expression" dxfId="4" priority="95">
      <formula>AND($J26="Deferred",K26&lt;&gt;"")</formula>
    </cfRule>
    <cfRule type="expression" dxfId="5" priority="96">
      <formula>AND($J26="Contingency",K26&lt;&gt;"")</formula>
    </cfRule>
  </conditionalFormatting>
  <conditionalFormatting sqref="K27:DD27">
    <cfRule type="expression" dxfId="0" priority="97">
      <formula>AND($J27="Not Started",K27&lt;&gt;"")</formula>
    </cfRule>
    <cfRule type="expression" dxfId="1" priority="98">
      <formula>AND($J27="In Progress",K27&lt;&gt;"")</formula>
    </cfRule>
    <cfRule type="expression" dxfId="2" priority="99">
      <formula>AND($J27="Done",K27&lt;&gt;"")</formula>
    </cfRule>
    <cfRule type="expression" dxfId="3" priority="100">
      <formula>AND($J27="Blocked",K27&lt;&gt;"")</formula>
    </cfRule>
    <cfRule type="expression" dxfId="4" priority="101">
      <formula>AND($J27="Deferred",K27&lt;&gt;"")</formula>
    </cfRule>
    <cfRule type="expression" dxfId="5" priority="102">
      <formula>AND($J27="Contingency",K27&lt;&gt;"")</formula>
    </cfRule>
  </conditionalFormatting>
  <conditionalFormatting sqref="K28:DD28">
    <cfRule type="expression" dxfId="0" priority="103">
      <formula>AND($J28="Not Started",K28&lt;&gt;"")</formula>
    </cfRule>
    <cfRule type="expression" dxfId="1" priority="104">
      <formula>AND($J28="In Progress",K28&lt;&gt;"")</formula>
    </cfRule>
    <cfRule type="expression" dxfId="2" priority="105">
      <formula>AND($J28="Done",K28&lt;&gt;"")</formula>
    </cfRule>
    <cfRule type="expression" dxfId="3" priority="106">
      <formula>AND($J28="Blocked",K28&lt;&gt;"")</formula>
    </cfRule>
    <cfRule type="expression" dxfId="4" priority="107">
      <formula>AND($J28="Deferred",K28&lt;&gt;"")</formula>
    </cfRule>
    <cfRule type="expression" dxfId="5" priority="108">
      <formula>AND($J28="Contingency",K28&lt;&gt;"")</formula>
    </cfRule>
  </conditionalFormatting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O13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38.7109375" customWidth="1"/>
    <col min="3" max="5" width="14.7109375" customWidth="1"/>
    <col min="6" max="6" width="56.7109375" customWidth="1"/>
    <col min="7" max="8" width="65.7109375" customWidth="1"/>
    <col min="9" max="9" width="70.7109375" customWidth="1"/>
    <col min="10" max="10" width="30.7109375" customWidth="1"/>
    <col min="11" max="11" width="55.7109375" customWidth="1"/>
    <col min="12" max="12" width="65.7109375" customWidth="1"/>
    <col min="13" max="13" width="55.7109375" customWidth="1"/>
    <col min="14" max="14" width="23.7109375" customWidth="1"/>
    <col min="15" max="15" width="10.7109375" customWidth="1"/>
  </cols>
  <sheetData>
    <row r="1" spans="1:15" ht="36" customHeight="1">
      <c r="A1" s="7" t="s">
        <v>140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ht="36" customHeight="1">
      <c r="A2" s="8" t="s">
        <v>141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>
      <c r="A3" s="9" t="s">
        <v>79</v>
      </c>
    </row>
    <row r="4" spans="1:15" ht="33.75" customHeight="1">
      <c r="A4" s="26" t="s">
        <v>142</v>
      </c>
      <c r="B4" s="26" t="s">
        <v>6</v>
      </c>
      <c r="C4" s="26" t="s">
        <v>9</v>
      </c>
      <c r="D4" s="26" t="s">
        <v>2</v>
      </c>
      <c r="E4" s="26" t="s">
        <v>7</v>
      </c>
      <c r="F4" s="26" t="s">
        <v>143</v>
      </c>
      <c r="G4" s="26" t="s">
        <v>144</v>
      </c>
      <c r="H4" s="26" t="s">
        <v>145</v>
      </c>
      <c r="I4" s="26" t="s">
        <v>146</v>
      </c>
      <c r="J4" s="26" t="s">
        <v>147</v>
      </c>
      <c r="K4" s="26" t="s">
        <v>148</v>
      </c>
      <c r="L4" s="26" t="s">
        <v>149</v>
      </c>
      <c r="M4" s="26" t="s">
        <v>150</v>
      </c>
      <c r="N4" s="26" t="s">
        <v>151</v>
      </c>
      <c r="O4" s="26" t="s">
        <v>10</v>
      </c>
    </row>
    <row r="5" spans="1:15" ht="45.75" customHeight="1">
      <c r="A5" s="27" t="s">
        <v>11</v>
      </c>
      <c r="B5" s="27" t="s">
        <v>12</v>
      </c>
      <c r="C5" s="27" t="s">
        <v>14</v>
      </c>
      <c r="D5" s="28">
        <v>46321</v>
      </c>
      <c r="E5" s="28">
        <v>46325</v>
      </c>
      <c r="F5" s="27" t="s">
        <v>152</v>
      </c>
      <c r="G5" s="27" t="s">
        <v>153</v>
      </c>
      <c r="H5" s="27" t="s">
        <v>154</v>
      </c>
      <c r="I5" s="27" t="s">
        <v>13</v>
      </c>
      <c r="J5" s="27" t="s">
        <v>155</v>
      </c>
      <c r="K5" s="27" t="s">
        <v>156</v>
      </c>
      <c r="L5" s="27" t="s">
        <v>157</v>
      </c>
      <c r="M5" s="27" t="s">
        <v>158</v>
      </c>
      <c r="N5" s="27" t="s">
        <v>159</v>
      </c>
      <c r="O5" s="27" t="s">
        <v>15</v>
      </c>
    </row>
    <row r="6" spans="1:15" ht="45.75" customHeight="1">
      <c r="A6" s="29" t="s">
        <v>16</v>
      </c>
      <c r="B6" s="29" t="s">
        <v>17</v>
      </c>
      <c r="C6" s="29" t="s">
        <v>19</v>
      </c>
      <c r="D6" s="30">
        <v>46328</v>
      </c>
      <c r="E6" s="30">
        <v>46332</v>
      </c>
      <c r="F6" s="29" t="s">
        <v>160</v>
      </c>
      <c r="G6" s="29" t="s">
        <v>161</v>
      </c>
      <c r="H6" s="29" t="s">
        <v>162</v>
      </c>
      <c r="I6" s="29" t="s">
        <v>18</v>
      </c>
      <c r="J6" s="29" t="s">
        <v>163</v>
      </c>
      <c r="K6" s="29" t="s">
        <v>164</v>
      </c>
      <c r="L6" s="29" t="s">
        <v>165</v>
      </c>
      <c r="M6" s="29" t="s">
        <v>166</v>
      </c>
      <c r="N6" s="29" t="s">
        <v>159</v>
      </c>
      <c r="O6" s="29" t="s">
        <v>20</v>
      </c>
    </row>
    <row r="7" spans="1:15" ht="45.75" customHeight="1">
      <c r="A7" s="27" t="s">
        <v>21</v>
      </c>
      <c r="B7" s="27" t="s">
        <v>22</v>
      </c>
      <c r="C7" s="27" t="s">
        <v>24</v>
      </c>
      <c r="D7" s="28">
        <v>46335</v>
      </c>
      <c r="E7" s="28">
        <v>46346</v>
      </c>
      <c r="F7" s="27" t="s">
        <v>167</v>
      </c>
      <c r="G7" s="27" t="s">
        <v>168</v>
      </c>
      <c r="H7" s="27" t="s">
        <v>169</v>
      </c>
      <c r="I7" s="27" t="s">
        <v>23</v>
      </c>
      <c r="J7" s="27" t="s">
        <v>155</v>
      </c>
      <c r="K7" s="27" t="s">
        <v>170</v>
      </c>
      <c r="L7" s="27" t="s">
        <v>171</v>
      </c>
      <c r="M7" s="27" t="s">
        <v>172</v>
      </c>
      <c r="N7" s="27" t="s">
        <v>173</v>
      </c>
      <c r="O7" s="27" t="s">
        <v>25</v>
      </c>
    </row>
    <row r="8" spans="1:15" ht="45.75" customHeight="1">
      <c r="A8" s="29" t="s">
        <v>26</v>
      </c>
      <c r="B8" s="29" t="s">
        <v>27</v>
      </c>
      <c r="C8" s="29" t="s">
        <v>29</v>
      </c>
      <c r="D8" s="30">
        <v>46349</v>
      </c>
      <c r="E8" s="30">
        <v>46360</v>
      </c>
      <c r="F8" s="29" t="s">
        <v>174</v>
      </c>
      <c r="G8" s="29" t="s">
        <v>175</v>
      </c>
      <c r="H8" s="29" t="s">
        <v>176</v>
      </c>
      <c r="I8" s="29" t="s">
        <v>28</v>
      </c>
      <c r="J8" s="29" t="s">
        <v>177</v>
      </c>
      <c r="K8" s="29" t="s">
        <v>178</v>
      </c>
      <c r="L8" s="29" t="s">
        <v>179</v>
      </c>
      <c r="M8" s="29" t="s">
        <v>180</v>
      </c>
      <c r="N8" s="29" t="s">
        <v>173</v>
      </c>
      <c r="O8" s="29" t="s">
        <v>30</v>
      </c>
    </row>
    <row r="9" spans="1:15" ht="45.75" customHeight="1">
      <c r="A9" s="27" t="s">
        <v>31</v>
      </c>
      <c r="B9" s="27" t="s">
        <v>32</v>
      </c>
      <c r="C9" s="27" t="s">
        <v>34</v>
      </c>
      <c r="D9" s="28">
        <v>46363</v>
      </c>
      <c r="E9" s="28">
        <v>46374</v>
      </c>
      <c r="F9" s="27" t="s">
        <v>181</v>
      </c>
      <c r="G9" s="27" t="s">
        <v>182</v>
      </c>
      <c r="H9" s="27" t="s">
        <v>183</v>
      </c>
      <c r="I9" s="27" t="s">
        <v>33</v>
      </c>
      <c r="J9" s="27" t="s">
        <v>184</v>
      </c>
      <c r="K9" s="27" t="s">
        <v>185</v>
      </c>
      <c r="L9" s="27" t="s">
        <v>186</v>
      </c>
      <c r="M9" s="27" t="s">
        <v>187</v>
      </c>
      <c r="N9" s="27" t="s">
        <v>173</v>
      </c>
      <c r="O9" s="27" t="s">
        <v>35</v>
      </c>
    </row>
    <row r="10" spans="1:15" ht="45.75" customHeight="1">
      <c r="A10" s="29" t="s">
        <v>36</v>
      </c>
      <c r="B10" s="29" t="s">
        <v>37</v>
      </c>
      <c r="C10" s="29" t="s">
        <v>39</v>
      </c>
      <c r="D10" s="30">
        <v>46377</v>
      </c>
      <c r="E10" s="30">
        <v>46381</v>
      </c>
      <c r="F10" s="29" t="s">
        <v>188</v>
      </c>
      <c r="G10" s="29" t="s">
        <v>189</v>
      </c>
      <c r="H10" s="29" t="s">
        <v>190</v>
      </c>
      <c r="I10" s="29" t="s">
        <v>38</v>
      </c>
      <c r="J10" s="29" t="s">
        <v>191</v>
      </c>
      <c r="K10" s="29" t="s">
        <v>192</v>
      </c>
      <c r="L10" s="29" t="s">
        <v>193</v>
      </c>
      <c r="M10" s="29" t="s">
        <v>194</v>
      </c>
      <c r="N10" s="29" t="s">
        <v>159</v>
      </c>
      <c r="O10" s="29" t="s">
        <v>40</v>
      </c>
    </row>
    <row r="11" spans="1:15" ht="45.75" customHeight="1">
      <c r="A11" s="27" t="s">
        <v>41</v>
      </c>
      <c r="B11" s="27" t="s">
        <v>42</v>
      </c>
      <c r="C11" s="27" t="s">
        <v>44</v>
      </c>
      <c r="D11" s="28">
        <v>46384</v>
      </c>
      <c r="E11" s="28">
        <v>46395</v>
      </c>
      <c r="F11" s="27" t="s">
        <v>195</v>
      </c>
      <c r="G11" s="27" t="s">
        <v>196</v>
      </c>
      <c r="H11" s="27" t="s">
        <v>197</v>
      </c>
      <c r="I11" s="27" t="s">
        <v>43</v>
      </c>
      <c r="J11" s="27" t="s">
        <v>198</v>
      </c>
      <c r="K11" s="27" t="s">
        <v>199</v>
      </c>
      <c r="L11" s="27" t="s">
        <v>200</v>
      </c>
      <c r="M11" s="27" t="s">
        <v>201</v>
      </c>
      <c r="N11" s="27" t="s">
        <v>173</v>
      </c>
      <c r="O11" s="27" t="s">
        <v>45</v>
      </c>
    </row>
    <row r="12" spans="1:15" ht="45.75" customHeight="1">
      <c r="A12" s="29" t="s">
        <v>46</v>
      </c>
      <c r="B12" s="29" t="s">
        <v>47</v>
      </c>
      <c r="C12" s="29" t="s">
        <v>49</v>
      </c>
      <c r="D12" s="30">
        <v>46398</v>
      </c>
      <c r="E12" s="30">
        <v>46402</v>
      </c>
      <c r="F12" s="29" t="s">
        <v>202</v>
      </c>
      <c r="G12" s="29" t="s">
        <v>203</v>
      </c>
      <c r="H12" s="29" t="s">
        <v>204</v>
      </c>
      <c r="I12" s="29" t="s">
        <v>48</v>
      </c>
      <c r="J12" s="29" t="s">
        <v>205</v>
      </c>
      <c r="K12" s="29" t="s">
        <v>206</v>
      </c>
      <c r="L12" s="29" t="s">
        <v>207</v>
      </c>
      <c r="M12" s="29" t="s">
        <v>208</v>
      </c>
      <c r="N12" s="29" t="s">
        <v>159</v>
      </c>
      <c r="O12" s="29" t="s">
        <v>50</v>
      </c>
    </row>
    <row r="13" spans="1:15" ht="62.25" customHeight="1">
      <c r="A13" s="27" t="s">
        <v>51</v>
      </c>
      <c r="B13" s="27" t="s">
        <v>52</v>
      </c>
      <c r="C13" s="27" t="s">
        <v>54</v>
      </c>
      <c r="D13" s="28">
        <v>46405</v>
      </c>
      <c r="E13" s="28">
        <v>46416</v>
      </c>
      <c r="F13" s="27" t="s">
        <v>209</v>
      </c>
      <c r="G13" s="27" t="s">
        <v>210</v>
      </c>
      <c r="H13" s="27" t="s">
        <v>211</v>
      </c>
      <c r="I13" s="27" t="s">
        <v>53</v>
      </c>
      <c r="J13" s="27" t="s">
        <v>212</v>
      </c>
      <c r="K13" s="27" t="s">
        <v>213</v>
      </c>
      <c r="L13" s="27" t="s">
        <v>214</v>
      </c>
      <c r="M13" s="27" t="s">
        <v>215</v>
      </c>
      <c r="N13" s="27" t="s">
        <v>216</v>
      </c>
      <c r="O13" s="27" t="s">
        <v>55</v>
      </c>
    </row>
  </sheetData>
  <autoFilter ref="A4:O13"/>
  <mergeCells count="2">
    <mergeCell ref="A1:O1"/>
    <mergeCell ref="A2:O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DD94"/>
  <sheetViews>
    <sheetView showGridLines="0" zoomScale="75" zoomScaleNormal="75" workbookViewId="0">
      <pane xSplit="5" ySplit="10" topLeftCell="F11" activePane="bottomRight" state="frozen"/>
      <selection pane="topRight" activeCell="F1" sqref="F1"/>
      <selection pane="bottomLeft" activeCell="A11" sqref="A11"/>
      <selection pane="bottomRight"/>
    </sheetView>
  </sheetViews>
  <sheetFormatPr defaultRowHeight="15"/>
  <cols>
    <col min="1" max="1" width="3.28515625" customWidth="1"/>
    <col min="2" max="2" width="6.7109375" customWidth="1"/>
    <col min="3" max="3" width="3.7109375" customWidth="1"/>
    <col min="4" max="4" width="12.7109375" customWidth="1"/>
    <col min="5" max="5" width="50.7109375" customWidth="1"/>
    <col min="6" max="7" width="14.7109375" customWidth="1"/>
    <col min="8" max="8" width="22.7109375" customWidth="1"/>
    <col min="9" max="9" width="58.7109375" customWidth="1"/>
    <col min="10" max="10" width="16.7109375" customWidth="1"/>
    <col min="11" max="108" width="4.140625" customWidth="1"/>
  </cols>
  <sheetData>
    <row r="1" spans="1:108" ht="36" customHeight="1">
      <c r="A1" s="7" t="s">
        <v>217</v>
      </c>
      <c r="B1" s="7"/>
      <c r="C1" s="7"/>
      <c r="D1" s="7"/>
      <c r="E1" s="7"/>
      <c r="F1" s="7"/>
      <c r="G1" s="7"/>
      <c r="H1" s="7"/>
      <c r="I1" s="7"/>
      <c r="J1" s="7"/>
    </row>
    <row r="2" spans="1:108" ht="36" customHeight="1">
      <c r="A2" s="8" t="s">
        <v>78</v>
      </c>
      <c r="B2" s="8"/>
      <c r="C2" s="8"/>
      <c r="D2" s="8"/>
      <c r="E2" s="8"/>
      <c r="F2" s="8"/>
      <c r="G2" s="8"/>
      <c r="H2" s="8"/>
      <c r="I2" s="8"/>
      <c r="J2" s="8"/>
    </row>
    <row r="3" spans="1:108">
      <c r="A3" s="9" t="s">
        <v>79</v>
      </c>
    </row>
    <row r="4" spans="1:108">
      <c r="B4" s="10" t="s">
        <v>80</v>
      </c>
      <c r="C4" s="10"/>
      <c r="D4" s="10"/>
      <c r="E4" s="10"/>
      <c r="F4" s="10"/>
      <c r="G4" s="10"/>
      <c r="H4" s="10"/>
      <c r="I4" s="10"/>
      <c r="J4" s="10"/>
    </row>
    <row r="5" spans="1:108">
      <c r="B5" s="11" t="s">
        <v>81</v>
      </c>
      <c r="C5" s="11"/>
      <c r="D5" s="11"/>
      <c r="E5" s="11"/>
      <c r="F5" s="11"/>
      <c r="G5" s="11"/>
      <c r="H5" s="11"/>
      <c r="I5" s="11"/>
      <c r="J5" s="11"/>
    </row>
    <row r="6" spans="1:108">
      <c r="B6" s="10" t="s">
        <v>82</v>
      </c>
      <c r="C6" s="10"/>
      <c r="D6" s="10"/>
      <c r="E6" s="10"/>
      <c r="F6" s="10"/>
      <c r="G6" s="10"/>
      <c r="H6" s="10"/>
      <c r="I6" s="10"/>
      <c r="J6" s="10"/>
    </row>
    <row r="8" spans="1:108" ht="24.75" customHeight="1">
      <c r="B8" s="12" t="s">
        <v>83</v>
      </c>
      <c r="C8" s="12"/>
      <c r="D8" s="12"/>
      <c r="E8" s="12"/>
      <c r="F8" s="12" t="s">
        <v>84</v>
      </c>
      <c r="G8" s="12" t="s">
        <v>85</v>
      </c>
      <c r="H8" s="12" t="s">
        <v>86</v>
      </c>
      <c r="I8" s="12" t="s">
        <v>87</v>
      </c>
      <c r="J8" s="12" t="s">
        <v>88</v>
      </c>
      <c r="K8" s="13" t="s">
        <v>89</v>
      </c>
      <c r="L8" s="13"/>
      <c r="M8" s="13"/>
      <c r="N8" s="13"/>
      <c r="O8" s="13"/>
      <c r="P8" s="13"/>
      <c r="Q8" s="13"/>
      <c r="R8" s="14" t="s">
        <v>90</v>
      </c>
      <c r="S8" s="14"/>
      <c r="T8" s="14"/>
      <c r="U8" s="14"/>
      <c r="V8" s="14"/>
      <c r="W8" s="14"/>
      <c r="X8" s="14"/>
      <c r="Y8" s="13" t="s">
        <v>91</v>
      </c>
      <c r="Z8" s="13"/>
      <c r="AA8" s="13"/>
      <c r="AB8" s="13"/>
      <c r="AC8" s="13"/>
      <c r="AD8" s="13"/>
      <c r="AE8" s="13"/>
      <c r="AF8" s="14" t="s">
        <v>92</v>
      </c>
      <c r="AG8" s="14"/>
      <c r="AH8" s="14"/>
      <c r="AI8" s="14"/>
      <c r="AJ8" s="14"/>
      <c r="AK8" s="14"/>
      <c r="AL8" s="14"/>
      <c r="AM8" s="13" t="s">
        <v>93</v>
      </c>
      <c r="AN8" s="13"/>
      <c r="AO8" s="13"/>
      <c r="AP8" s="13"/>
      <c r="AQ8" s="13"/>
      <c r="AR8" s="13"/>
      <c r="AS8" s="13"/>
      <c r="AT8" s="14" t="s">
        <v>94</v>
      </c>
      <c r="AU8" s="14"/>
      <c r="AV8" s="14"/>
      <c r="AW8" s="14"/>
      <c r="AX8" s="14"/>
      <c r="AY8" s="14"/>
      <c r="AZ8" s="14"/>
      <c r="BA8" s="13" t="s">
        <v>95</v>
      </c>
      <c r="BB8" s="13"/>
      <c r="BC8" s="13"/>
      <c r="BD8" s="13"/>
      <c r="BE8" s="13"/>
      <c r="BF8" s="13"/>
      <c r="BG8" s="13"/>
      <c r="BH8" s="14" t="s">
        <v>96</v>
      </c>
      <c r="BI8" s="14"/>
      <c r="BJ8" s="14"/>
      <c r="BK8" s="14"/>
      <c r="BL8" s="14"/>
      <c r="BM8" s="14"/>
      <c r="BN8" s="14"/>
      <c r="BO8" s="13" t="s">
        <v>97</v>
      </c>
      <c r="BP8" s="13"/>
      <c r="BQ8" s="13"/>
      <c r="BR8" s="13"/>
      <c r="BS8" s="13"/>
      <c r="BT8" s="13"/>
      <c r="BU8" s="13"/>
      <c r="BV8" s="14" t="s">
        <v>98</v>
      </c>
      <c r="BW8" s="14"/>
      <c r="BX8" s="14"/>
      <c r="BY8" s="14"/>
      <c r="BZ8" s="14"/>
      <c r="CA8" s="14"/>
      <c r="CB8" s="14"/>
      <c r="CC8" s="13" t="s">
        <v>99</v>
      </c>
      <c r="CD8" s="13"/>
      <c r="CE8" s="13"/>
      <c r="CF8" s="13"/>
      <c r="CG8" s="13"/>
      <c r="CH8" s="13"/>
      <c r="CI8" s="13"/>
      <c r="CJ8" s="14" t="s">
        <v>100</v>
      </c>
      <c r="CK8" s="14"/>
      <c r="CL8" s="14"/>
      <c r="CM8" s="14"/>
      <c r="CN8" s="14"/>
      <c r="CO8" s="14"/>
      <c r="CP8" s="14"/>
      <c r="CQ8" s="13" t="s">
        <v>101</v>
      </c>
      <c r="CR8" s="13"/>
      <c r="CS8" s="13"/>
      <c r="CT8" s="13"/>
      <c r="CU8" s="13"/>
      <c r="CV8" s="13"/>
      <c r="CW8" s="13"/>
      <c r="CX8" s="14" t="s">
        <v>102</v>
      </c>
      <c r="CY8" s="14"/>
      <c r="CZ8" s="14"/>
      <c r="DA8" s="14"/>
      <c r="DB8" s="14"/>
      <c r="DC8" s="14"/>
      <c r="DD8" s="14"/>
    </row>
    <row r="9" spans="1:108" ht="18.75" customHeight="1">
      <c r="B9" s="12"/>
      <c r="C9" s="12"/>
      <c r="D9" s="12"/>
      <c r="E9" s="12"/>
      <c r="F9" s="12"/>
      <c r="G9" s="12"/>
      <c r="H9" s="12"/>
      <c r="I9" s="12"/>
      <c r="J9" s="12"/>
      <c r="K9" s="15" t="s">
        <v>103</v>
      </c>
      <c r="L9" s="15" t="s">
        <v>104</v>
      </c>
      <c r="M9" s="15" t="s">
        <v>105</v>
      </c>
      <c r="N9" s="15" t="s">
        <v>106</v>
      </c>
      <c r="O9" s="15" t="s">
        <v>107</v>
      </c>
      <c r="P9" s="16" t="s">
        <v>108</v>
      </c>
      <c r="Q9" s="16" t="s">
        <v>109</v>
      </c>
      <c r="R9" s="15" t="s">
        <v>103</v>
      </c>
      <c r="S9" s="15" t="s">
        <v>104</v>
      </c>
      <c r="T9" s="15" t="s">
        <v>105</v>
      </c>
      <c r="U9" s="15" t="s">
        <v>106</v>
      </c>
      <c r="V9" s="15" t="s">
        <v>107</v>
      </c>
      <c r="W9" s="16" t="s">
        <v>108</v>
      </c>
      <c r="X9" s="16" t="s">
        <v>109</v>
      </c>
      <c r="Y9" s="15" t="s">
        <v>103</v>
      </c>
      <c r="Z9" s="15" t="s">
        <v>104</v>
      </c>
      <c r="AA9" s="15" t="s">
        <v>105</v>
      </c>
      <c r="AB9" s="15" t="s">
        <v>106</v>
      </c>
      <c r="AC9" s="15" t="s">
        <v>107</v>
      </c>
      <c r="AD9" s="16" t="s">
        <v>108</v>
      </c>
      <c r="AE9" s="16" t="s">
        <v>109</v>
      </c>
      <c r="AF9" s="15" t="s">
        <v>103</v>
      </c>
      <c r="AG9" s="15" t="s">
        <v>104</v>
      </c>
      <c r="AH9" s="15" t="s">
        <v>105</v>
      </c>
      <c r="AI9" s="15" t="s">
        <v>106</v>
      </c>
      <c r="AJ9" s="15" t="s">
        <v>107</v>
      </c>
      <c r="AK9" s="16" t="s">
        <v>108</v>
      </c>
      <c r="AL9" s="16" t="s">
        <v>109</v>
      </c>
      <c r="AM9" s="15" t="s">
        <v>103</v>
      </c>
      <c r="AN9" s="15" t="s">
        <v>104</v>
      </c>
      <c r="AO9" s="15" t="s">
        <v>105</v>
      </c>
      <c r="AP9" s="15" t="s">
        <v>106</v>
      </c>
      <c r="AQ9" s="15" t="s">
        <v>107</v>
      </c>
      <c r="AR9" s="16" t="s">
        <v>108</v>
      </c>
      <c r="AS9" s="16" t="s">
        <v>109</v>
      </c>
      <c r="AT9" s="15" t="s">
        <v>103</v>
      </c>
      <c r="AU9" s="15" t="s">
        <v>104</v>
      </c>
      <c r="AV9" s="15" t="s">
        <v>105</v>
      </c>
      <c r="AW9" s="15" t="s">
        <v>106</v>
      </c>
      <c r="AX9" s="15" t="s">
        <v>107</v>
      </c>
      <c r="AY9" s="16" t="s">
        <v>108</v>
      </c>
      <c r="AZ9" s="16" t="s">
        <v>109</v>
      </c>
      <c r="BA9" s="15" t="s">
        <v>103</v>
      </c>
      <c r="BB9" s="15" t="s">
        <v>104</v>
      </c>
      <c r="BC9" s="15" t="s">
        <v>105</v>
      </c>
      <c r="BD9" s="15" t="s">
        <v>106</v>
      </c>
      <c r="BE9" s="15" t="s">
        <v>107</v>
      </c>
      <c r="BF9" s="16" t="s">
        <v>108</v>
      </c>
      <c r="BG9" s="16" t="s">
        <v>109</v>
      </c>
      <c r="BH9" s="15" t="s">
        <v>103</v>
      </c>
      <c r="BI9" s="15" t="s">
        <v>104</v>
      </c>
      <c r="BJ9" s="15" t="s">
        <v>105</v>
      </c>
      <c r="BK9" s="15" t="s">
        <v>106</v>
      </c>
      <c r="BL9" s="15" t="s">
        <v>107</v>
      </c>
      <c r="BM9" s="16" t="s">
        <v>108</v>
      </c>
      <c r="BN9" s="16" t="s">
        <v>109</v>
      </c>
      <c r="BO9" s="15" t="s">
        <v>103</v>
      </c>
      <c r="BP9" s="15" t="s">
        <v>104</v>
      </c>
      <c r="BQ9" s="15" t="s">
        <v>105</v>
      </c>
      <c r="BR9" s="15" t="s">
        <v>106</v>
      </c>
      <c r="BS9" s="15" t="s">
        <v>107</v>
      </c>
      <c r="BT9" s="16" t="s">
        <v>108</v>
      </c>
      <c r="BU9" s="16" t="s">
        <v>109</v>
      </c>
      <c r="BV9" s="15" t="s">
        <v>103</v>
      </c>
      <c r="BW9" s="15" t="s">
        <v>104</v>
      </c>
      <c r="BX9" s="15" t="s">
        <v>105</v>
      </c>
      <c r="BY9" s="15" t="s">
        <v>106</v>
      </c>
      <c r="BZ9" s="15" t="s">
        <v>107</v>
      </c>
      <c r="CA9" s="16" t="s">
        <v>108</v>
      </c>
      <c r="CB9" s="16" t="s">
        <v>109</v>
      </c>
      <c r="CC9" s="15" t="s">
        <v>103</v>
      </c>
      <c r="CD9" s="15" t="s">
        <v>104</v>
      </c>
      <c r="CE9" s="15" t="s">
        <v>105</v>
      </c>
      <c r="CF9" s="15" t="s">
        <v>106</v>
      </c>
      <c r="CG9" s="15" t="s">
        <v>107</v>
      </c>
      <c r="CH9" s="16" t="s">
        <v>108</v>
      </c>
      <c r="CI9" s="16" t="s">
        <v>109</v>
      </c>
      <c r="CJ9" s="15" t="s">
        <v>103</v>
      </c>
      <c r="CK9" s="15" t="s">
        <v>104</v>
      </c>
      <c r="CL9" s="15" t="s">
        <v>105</v>
      </c>
      <c r="CM9" s="15" t="s">
        <v>106</v>
      </c>
      <c r="CN9" s="15" t="s">
        <v>107</v>
      </c>
      <c r="CO9" s="16" t="s">
        <v>108</v>
      </c>
      <c r="CP9" s="16" t="s">
        <v>109</v>
      </c>
      <c r="CQ9" s="15" t="s">
        <v>103</v>
      </c>
      <c r="CR9" s="15" t="s">
        <v>104</v>
      </c>
      <c r="CS9" s="15" t="s">
        <v>105</v>
      </c>
      <c r="CT9" s="15" t="s">
        <v>106</v>
      </c>
      <c r="CU9" s="15" t="s">
        <v>107</v>
      </c>
      <c r="CV9" s="16" t="s">
        <v>108</v>
      </c>
      <c r="CW9" s="16" t="s">
        <v>109</v>
      </c>
      <c r="CX9" s="15" t="s">
        <v>103</v>
      </c>
      <c r="CY9" s="15" t="s">
        <v>104</v>
      </c>
      <c r="CZ9" s="15" t="s">
        <v>105</v>
      </c>
      <c r="DA9" s="15" t="s">
        <v>106</v>
      </c>
      <c r="DB9" s="15" t="s">
        <v>107</v>
      </c>
      <c r="DC9" s="16" t="s">
        <v>108</v>
      </c>
      <c r="DD9" s="16" t="s">
        <v>109</v>
      </c>
    </row>
    <row r="10" spans="1:108" ht="35.25" customHeight="1">
      <c r="B10" s="12"/>
      <c r="C10" s="12"/>
      <c r="D10" s="12"/>
      <c r="E10" s="12"/>
      <c r="F10" s="12"/>
      <c r="G10" s="12"/>
      <c r="H10" s="12"/>
      <c r="I10" s="12"/>
      <c r="J10" s="12"/>
      <c r="K10" s="17">
        <v>46321</v>
      </c>
      <c r="L10" s="17">
        <v>46322</v>
      </c>
      <c r="M10" s="17">
        <v>46323</v>
      </c>
      <c r="N10" s="17">
        <v>46324</v>
      </c>
      <c r="O10" s="17">
        <v>46325</v>
      </c>
      <c r="P10" s="18">
        <v>46326</v>
      </c>
      <c r="Q10" s="18">
        <v>46327</v>
      </c>
      <c r="R10" s="17">
        <v>46328</v>
      </c>
      <c r="S10" s="17">
        <v>46329</v>
      </c>
      <c r="T10" s="17">
        <v>46330</v>
      </c>
      <c r="U10" s="17">
        <v>46331</v>
      </c>
      <c r="V10" s="17">
        <v>46332</v>
      </c>
      <c r="W10" s="18">
        <v>46333</v>
      </c>
      <c r="X10" s="18">
        <v>46334</v>
      </c>
      <c r="Y10" s="17">
        <v>46335</v>
      </c>
      <c r="Z10" s="17">
        <v>46336</v>
      </c>
      <c r="AA10" s="17">
        <v>46337</v>
      </c>
      <c r="AB10" s="17">
        <v>46338</v>
      </c>
      <c r="AC10" s="17">
        <v>46339</v>
      </c>
      <c r="AD10" s="18">
        <v>46340</v>
      </c>
      <c r="AE10" s="18">
        <v>46341</v>
      </c>
      <c r="AF10" s="17">
        <v>46342</v>
      </c>
      <c r="AG10" s="17">
        <v>46343</v>
      </c>
      <c r="AH10" s="17">
        <v>46344</v>
      </c>
      <c r="AI10" s="17">
        <v>46345</v>
      </c>
      <c r="AJ10" s="17">
        <v>46346</v>
      </c>
      <c r="AK10" s="18">
        <v>46347</v>
      </c>
      <c r="AL10" s="18">
        <v>46348</v>
      </c>
      <c r="AM10" s="17">
        <v>46349</v>
      </c>
      <c r="AN10" s="17">
        <v>46350</v>
      </c>
      <c r="AO10" s="17">
        <v>46351</v>
      </c>
      <c r="AP10" s="17">
        <v>46352</v>
      </c>
      <c r="AQ10" s="17">
        <v>46353</v>
      </c>
      <c r="AR10" s="18">
        <v>46354</v>
      </c>
      <c r="AS10" s="18">
        <v>46355</v>
      </c>
      <c r="AT10" s="17">
        <v>46356</v>
      </c>
      <c r="AU10" s="17">
        <v>46357</v>
      </c>
      <c r="AV10" s="17">
        <v>46358</v>
      </c>
      <c r="AW10" s="17">
        <v>46359</v>
      </c>
      <c r="AX10" s="17">
        <v>46360</v>
      </c>
      <c r="AY10" s="18">
        <v>46361</v>
      </c>
      <c r="AZ10" s="18">
        <v>46362</v>
      </c>
      <c r="BA10" s="17">
        <v>46363</v>
      </c>
      <c r="BB10" s="17">
        <v>46364</v>
      </c>
      <c r="BC10" s="17">
        <v>46365</v>
      </c>
      <c r="BD10" s="17">
        <v>46366</v>
      </c>
      <c r="BE10" s="17">
        <v>46367</v>
      </c>
      <c r="BF10" s="18">
        <v>46368</v>
      </c>
      <c r="BG10" s="18">
        <v>46369</v>
      </c>
      <c r="BH10" s="17">
        <v>46370</v>
      </c>
      <c r="BI10" s="17">
        <v>46371</v>
      </c>
      <c r="BJ10" s="17">
        <v>46372</v>
      </c>
      <c r="BK10" s="17">
        <v>46373</v>
      </c>
      <c r="BL10" s="17">
        <v>46374</v>
      </c>
      <c r="BM10" s="18">
        <v>46375</v>
      </c>
      <c r="BN10" s="18">
        <v>46376</v>
      </c>
      <c r="BO10" s="17">
        <v>46377</v>
      </c>
      <c r="BP10" s="17">
        <v>46378</v>
      </c>
      <c r="BQ10" s="17">
        <v>46379</v>
      </c>
      <c r="BR10" s="17">
        <v>46380</v>
      </c>
      <c r="BS10" s="17">
        <v>46381</v>
      </c>
      <c r="BT10" s="18">
        <v>46382</v>
      </c>
      <c r="BU10" s="18">
        <v>46383</v>
      </c>
      <c r="BV10" s="17">
        <v>46384</v>
      </c>
      <c r="BW10" s="17">
        <v>46385</v>
      </c>
      <c r="BX10" s="17">
        <v>46386</v>
      </c>
      <c r="BY10" s="17">
        <v>46387</v>
      </c>
      <c r="BZ10" s="17">
        <v>46388</v>
      </c>
      <c r="CA10" s="18">
        <v>46389</v>
      </c>
      <c r="CB10" s="18">
        <v>46390</v>
      </c>
      <c r="CC10" s="17">
        <v>46391</v>
      </c>
      <c r="CD10" s="17">
        <v>46392</v>
      </c>
      <c r="CE10" s="17">
        <v>46393</v>
      </c>
      <c r="CF10" s="17">
        <v>46394</v>
      </c>
      <c r="CG10" s="17">
        <v>46395</v>
      </c>
      <c r="CH10" s="18">
        <v>46396</v>
      </c>
      <c r="CI10" s="18">
        <v>46397</v>
      </c>
      <c r="CJ10" s="17">
        <v>46398</v>
      </c>
      <c r="CK10" s="17">
        <v>46399</v>
      </c>
      <c r="CL10" s="17">
        <v>46400</v>
      </c>
      <c r="CM10" s="17">
        <v>46401</v>
      </c>
      <c r="CN10" s="17">
        <v>46402</v>
      </c>
      <c r="CO10" s="18">
        <v>46403</v>
      </c>
      <c r="CP10" s="18">
        <v>46404</v>
      </c>
      <c r="CQ10" s="17">
        <v>46405</v>
      </c>
      <c r="CR10" s="17">
        <v>46406</v>
      </c>
      <c r="CS10" s="17">
        <v>46407</v>
      </c>
      <c r="CT10" s="17">
        <v>46408</v>
      </c>
      <c r="CU10" s="17">
        <v>46409</v>
      </c>
      <c r="CV10" s="18">
        <v>46410</v>
      </c>
      <c r="CW10" s="18">
        <v>46411</v>
      </c>
      <c r="CX10" s="17">
        <v>46412</v>
      </c>
      <c r="CY10" s="17">
        <v>46413</v>
      </c>
      <c r="CZ10" s="17">
        <v>46414</v>
      </c>
      <c r="DA10" s="17">
        <v>46415</v>
      </c>
      <c r="DB10" s="17">
        <v>46416</v>
      </c>
      <c r="DC10" s="18">
        <v>46417</v>
      </c>
      <c r="DD10" s="18">
        <v>46418</v>
      </c>
    </row>
    <row r="11" spans="1:108" ht="87.75" customHeight="1">
      <c r="B11" s="19" t="s">
        <v>11</v>
      </c>
      <c r="C11" s="19"/>
      <c r="D11" s="19"/>
      <c r="E11" s="19" t="s">
        <v>12</v>
      </c>
      <c r="F11" s="20">
        <v>46321</v>
      </c>
      <c r="G11" s="20">
        <v>46325</v>
      </c>
      <c r="H11" s="19" t="s">
        <v>110</v>
      </c>
      <c r="I11" s="19" t="s">
        <v>13</v>
      </c>
      <c r="J11" s="19" t="str">
        <f>IF(COUNTIF(J12:J16,"Done")=5,"Done",IF(COUNTIF(J12:J16,"Blocked")&gt;0,"Blocked",IF(COUNTIF(J12:J16,"Done")+COUNTIF(J12:J16,"In Progress")&gt;0,"In Progress","Not Started")))</f>
        <v>Not Started</v>
      </c>
      <c r="K11" s="21" t="s">
        <v>111</v>
      </c>
      <c r="L11" s="21" t="s">
        <v>111</v>
      </c>
      <c r="M11" s="21" t="s">
        <v>111</v>
      </c>
      <c r="N11" s="21" t="s">
        <v>111</v>
      </c>
      <c r="O11" s="21" t="s">
        <v>111</v>
      </c>
    </row>
    <row r="12" spans="1:108" ht="62.25" customHeight="1">
      <c r="D12" s="22" t="s">
        <v>218</v>
      </c>
      <c r="E12" s="22" t="s">
        <v>219</v>
      </c>
      <c r="F12" s="23">
        <v>46321</v>
      </c>
      <c r="G12" s="23">
        <v>46321</v>
      </c>
      <c r="H12" s="22" t="s">
        <v>110</v>
      </c>
      <c r="I12" s="22" t="s">
        <v>220</v>
      </c>
      <c r="J12" s="24" t="s">
        <v>221</v>
      </c>
      <c r="K12" s="25" t="s">
        <v>111</v>
      </c>
    </row>
    <row r="13" spans="1:108" ht="62.25" customHeight="1">
      <c r="D13" s="31" t="s">
        <v>222</v>
      </c>
      <c r="E13" s="31" t="s">
        <v>223</v>
      </c>
      <c r="F13" s="32">
        <v>46321</v>
      </c>
      <c r="G13" s="32">
        <v>46322</v>
      </c>
      <c r="H13" s="31" t="s">
        <v>110</v>
      </c>
      <c r="I13" s="31" t="s">
        <v>224</v>
      </c>
      <c r="J13" s="24" t="s">
        <v>221</v>
      </c>
      <c r="K13" s="25" t="s">
        <v>111</v>
      </c>
      <c r="L13" s="25" t="s">
        <v>111</v>
      </c>
    </row>
    <row r="14" spans="1:108" ht="62.25" customHeight="1">
      <c r="D14" s="22" t="s">
        <v>225</v>
      </c>
      <c r="E14" s="22" t="s">
        <v>226</v>
      </c>
      <c r="F14" s="23">
        <v>46322</v>
      </c>
      <c r="G14" s="23">
        <v>46323</v>
      </c>
      <c r="H14" s="22" t="s">
        <v>110</v>
      </c>
      <c r="I14" s="22" t="s">
        <v>227</v>
      </c>
      <c r="J14" s="24" t="s">
        <v>221</v>
      </c>
      <c r="L14" s="25" t="s">
        <v>111</v>
      </c>
      <c r="M14" s="25" t="s">
        <v>111</v>
      </c>
    </row>
    <row r="15" spans="1:108" ht="62.25" customHeight="1">
      <c r="D15" s="31" t="s">
        <v>228</v>
      </c>
      <c r="E15" s="31" t="s">
        <v>229</v>
      </c>
      <c r="F15" s="32">
        <v>46323</v>
      </c>
      <c r="G15" s="32">
        <v>46324</v>
      </c>
      <c r="H15" s="31" t="s">
        <v>110</v>
      </c>
      <c r="I15" s="31" t="s">
        <v>230</v>
      </c>
      <c r="J15" s="24" t="s">
        <v>221</v>
      </c>
      <c r="M15" s="25" t="s">
        <v>111</v>
      </c>
      <c r="N15" s="25" t="s">
        <v>111</v>
      </c>
    </row>
    <row r="16" spans="1:108" ht="62.25" customHeight="1">
      <c r="D16" s="22" t="s">
        <v>112</v>
      </c>
      <c r="E16" s="22" t="s">
        <v>113</v>
      </c>
      <c r="F16" s="23">
        <v>46324</v>
      </c>
      <c r="G16" s="23">
        <v>46324</v>
      </c>
      <c r="H16" s="22" t="s">
        <v>110</v>
      </c>
      <c r="I16" s="22" t="s">
        <v>114</v>
      </c>
      <c r="J16" s="24" t="s">
        <v>221</v>
      </c>
      <c r="N16" s="25" t="s">
        <v>115</v>
      </c>
    </row>
    <row r="17" spans="2:36" ht="62.25" customHeight="1">
      <c r="D17" s="31" t="s">
        <v>231</v>
      </c>
      <c r="E17" s="31" t="s">
        <v>232</v>
      </c>
      <c r="F17" s="32">
        <v>46325</v>
      </c>
      <c r="G17" s="32">
        <v>46325</v>
      </c>
      <c r="H17" s="31" t="s">
        <v>110</v>
      </c>
      <c r="I17" s="31" t="s">
        <v>233</v>
      </c>
      <c r="J17" s="33" t="s">
        <v>234</v>
      </c>
      <c r="O17" s="34" t="s">
        <v>111</v>
      </c>
    </row>
    <row r="18" spans="2:36" ht="87.75" customHeight="1">
      <c r="B18" s="19" t="s">
        <v>16</v>
      </c>
      <c r="C18" s="19"/>
      <c r="D18" s="19"/>
      <c r="E18" s="19" t="s">
        <v>17</v>
      </c>
      <c r="F18" s="20">
        <v>46328</v>
      </c>
      <c r="G18" s="20">
        <v>46332</v>
      </c>
      <c r="H18" s="19" t="s">
        <v>110</v>
      </c>
      <c r="I18" s="19" t="s">
        <v>18</v>
      </c>
      <c r="J18" s="19" t="str">
        <f>IF(COUNTIF(J19:J23,"Done")=5,"Done",IF(COUNTIF(J19:J23,"Blocked")&gt;0,"Blocked",IF(COUNTIF(J19:J23,"Done")+COUNTIF(J19:J23,"In Progress")&gt;0,"In Progress","Not Started")))</f>
        <v>Not Started</v>
      </c>
      <c r="R18" s="21" t="s">
        <v>111</v>
      </c>
      <c r="S18" s="21" t="s">
        <v>111</v>
      </c>
      <c r="T18" s="21" t="s">
        <v>111</v>
      </c>
      <c r="U18" s="21" t="s">
        <v>111</v>
      </c>
      <c r="V18" s="21" t="s">
        <v>111</v>
      </c>
    </row>
    <row r="19" spans="2:36" ht="62.25" customHeight="1">
      <c r="D19" s="31" t="s">
        <v>235</v>
      </c>
      <c r="E19" s="31" t="s">
        <v>236</v>
      </c>
      <c r="F19" s="32">
        <v>46328</v>
      </c>
      <c r="G19" s="32">
        <v>46328</v>
      </c>
      <c r="H19" s="31" t="s">
        <v>110</v>
      </c>
      <c r="I19" s="31" t="s">
        <v>237</v>
      </c>
      <c r="J19" s="24" t="s">
        <v>221</v>
      </c>
      <c r="R19" s="25" t="s">
        <v>111</v>
      </c>
    </row>
    <row r="20" spans="2:36" ht="62.25" customHeight="1">
      <c r="D20" s="22" t="s">
        <v>238</v>
      </c>
      <c r="E20" s="22" t="s">
        <v>239</v>
      </c>
      <c r="F20" s="23">
        <v>46328</v>
      </c>
      <c r="G20" s="23">
        <v>46329</v>
      </c>
      <c r="H20" s="22" t="s">
        <v>110</v>
      </c>
      <c r="I20" s="22" t="s">
        <v>240</v>
      </c>
      <c r="J20" s="24" t="s">
        <v>221</v>
      </c>
      <c r="R20" s="25" t="s">
        <v>111</v>
      </c>
      <c r="S20" s="25" t="s">
        <v>111</v>
      </c>
    </row>
    <row r="21" spans="2:36" ht="62.25" customHeight="1">
      <c r="D21" s="31" t="s">
        <v>241</v>
      </c>
      <c r="E21" s="31" t="s">
        <v>242</v>
      </c>
      <c r="F21" s="32">
        <v>46329</v>
      </c>
      <c r="G21" s="32">
        <v>46330</v>
      </c>
      <c r="H21" s="31" t="s">
        <v>110</v>
      </c>
      <c r="I21" s="31" t="s">
        <v>243</v>
      </c>
      <c r="J21" s="24" t="s">
        <v>221</v>
      </c>
      <c r="S21" s="25" t="s">
        <v>111</v>
      </c>
      <c r="T21" s="25" t="s">
        <v>111</v>
      </c>
    </row>
    <row r="22" spans="2:36" ht="62.25" customHeight="1">
      <c r="D22" s="22" t="s">
        <v>244</v>
      </c>
      <c r="E22" s="22" t="s">
        <v>245</v>
      </c>
      <c r="F22" s="23">
        <v>46330</v>
      </c>
      <c r="G22" s="23">
        <v>46331</v>
      </c>
      <c r="H22" s="22" t="s">
        <v>110</v>
      </c>
      <c r="I22" s="22" t="s">
        <v>246</v>
      </c>
      <c r="J22" s="24" t="s">
        <v>221</v>
      </c>
      <c r="T22" s="25" t="s">
        <v>111</v>
      </c>
      <c r="U22" s="25" t="s">
        <v>111</v>
      </c>
    </row>
    <row r="23" spans="2:36" ht="62.25" customHeight="1">
      <c r="D23" s="31" t="s">
        <v>116</v>
      </c>
      <c r="E23" s="31" t="s">
        <v>117</v>
      </c>
      <c r="F23" s="32">
        <v>46331</v>
      </c>
      <c r="G23" s="32">
        <v>46331</v>
      </c>
      <c r="H23" s="31" t="s">
        <v>110</v>
      </c>
      <c r="I23" s="31" t="s">
        <v>118</v>
      </c>
      <c r="J23" s="24" t="s">
        <v>221</v>
      </c>
      <c r="U23" s="25" t="s">
        <v>115</v>
      </c>
    </row>
    <row r="24" spans="2:36" ht="62.25" customHeight="1">
      <c r="D24" s="22" t="s">
        <v>247</v>
      </c>
      <c r="E24" s="22" t="s">
        <v>232</v>
      </c>
      <c r="F24" s="23">
        <v>46332</v>
      </c>
      <c r="G24" s="23">
        <v>46332</v>
      </c>
      <c r="H24" s="22" t="s">
        <v>110</v>
      </c>
      <c r="I24" s="22" t="s">
        <v>233</v>
      </c>
      <c r="J24" s="33" t="s">
        <v>234</v>
      </c>
      <c r="V24" s="34" t="s">
        <v>111</v>
      </c>
    </row>
    <row r="25" spans="2:36" ht="87.75" customHeight="1">
      <c r="B25" s="19" t="s">
        <v>21</v>
      </c>
      <c r="C25" s="19"/>
      <c r="D25" s="19"/>
      <c r="E25" s="19" t="s">
        <v>22</v>
      </c>
      <c r="F25" s="20">
        <v>46335</v>
      </c>
      <c r="G25" s="20">
        <v>46346</v>
      </c>
      <c r="H25" s="19" t="s">
        <v>110</v>
      </c>
      <c r="I25" s="19" t="s">
        <v>23</v>
      </c>
      <c r="J25" s="19" t="str">
        <f>IF(COUNTIF(J26:J34,"Done")=9,"Done",IF(COUNTIF(J26:J34,"Blocked")&gt;0,"Blocked",IF(COUNTIF(J26:J34,"Done")+COUNTIF(J26:J34,"In Progress")&gt;0,"In Progress","Not Started")))</f>
        <v>Not Started</v>
      </c>
      <c r="Y25" s="21" t="s">
        <v>111</v>
      </c>
      <c r="Z25" s="21" t="s">
        <v>111</v>
      </c>
      <c r="AA25" s="21" t="s">
        <v>111</v>
      </c>
      <c r="AB25" s="21" t="s">
        <v>111</v>
      </c>
      <c r="AC25" s="21" t="s">
        <v>111</v>
      </c>
      <c r="AF25" s="21" t="s">
        <v>111</v>
      </c>
      <c r="AG25" s="21" t="s">
        <v>111</v>
      </c>
      <c r="AH25" s="21" t="s">
        <v>111</v>
      </c>
      <c r="AI25" s="21" t="s">
        <v>111</v>
      </c>
      <c r="AJ25" s="21" t="s">
        <v>111</v>
      </c>
    </row>
    <row r="26" spans="2:36" ht="62.25" customHeight="1">
      <c r="D26" s="22" t="s">
        <v>248</v>
      </c>
      <c r="E26" s="22" t="s">
        <v>249</v>
      </c>
      <c r="F26" s="23">
        <v>46335</v>
      </c>
      <c r="G26" s="23">
        <v>46336</v>
      </c>
      <c r="H26" s="22" t="s">
        <v>110</v>
      </c>
      <c r="I26" s="22" t="s">
        <v>250</v>
      </c>
      <c r="J26" s="24" t="s">
        <v>221</v>
      </c>
      <c r="Y26" s="25" t="s">
        <v>111</v>
      </c>
      <c r="Z26" s="25" t="s">
        <v>111</v>
      </c>
    </row>
    <row r="27" spans="2:36" ht="62.25" customHeight="1">
      <c r="D27" s="31" t="s">
        <v>251</v>
      </c>
      <c r="E27" s="31" t="s">
        <v>252</v>
      </c>
      <c r="F27" s="32">
        <v>46336</v>
      </c>
      <c r="G27" s="32">
        <v>46337</v>
      </c>
      <c r="H27" s="31" t="s">
        <v>110</v>
      </c>
      <c r="I27" s="31" t="s">
        <v>253</v>
      </c>
      <c r="J27" s="24" t="s">
        <v>221</v>
      </c>
      <c r="Z27" s="25" t="s">
        <v>111</v>
      </c>
      <c r="AA27" s="25" t="s">
        <v>111</v>
      </c>
    </row>
    <row r="28" spans="2:36" ht="62.25" customHeight="1">
      <c r="D28" s="22" t="s">
        <v>254</v>
      </c>
      <c r="E28" s="22" t="s">
        <v>255</v>
      </c>
      <c r="F28" s="23">
        <v>46337</v>
      </c>
      <c r="G28" s="23">
        <v>46337</v>
      </c>
      <c r="H28" s="22" t="s">
        <v>110</v>
      </c>
      <c r="I28" s="22" t="s">
        <v>256</v>
      </c>
      <c r="J28" s="24" t="s">
        <v>221</v>
      </c>
      <c r="AA28" s="25" t="s">
        <v>111</v>
      </c>
    </row>
    <row r="29" spans="2:36" ht="62.25" customHeight="1">
      <c r="D29" s="31" t="s">
        <v>257</v>
      </c>
      <c r="E29" s="31" t="s">
        <v>258</v>
      </c>
      <c r="F29" s="32">
        <v>46338</v>
      </c>
      <c r="G29" s="32">
        <v>46338</v>
      </c>
      <c r="H29" s="31" t="s">
        <v>110</v>
      </c>
      <c r="I29" s="31" t="s">
        <v>259</v>
      </c>
      <c r="J29" s="24" t="s">
        <v>221</v>
      </c>
      <c r="AB29" s="25" t="s">
        <v>111</v>
      </c>
    </row>
    <row r="30" spans="2:36" ht="62.25" customHeight="1">
      <c r="D30" s="22" t="s">
        <v>260</v>
      </c>
      <c r="E30" s="22" t="s">
        <v>261</v>
      </c>
      <c r="F30" s="23">
        <v>46339</v>
      </c>
      <c r="G30" s="23">
        <v>46342</v>
      </c>
      <c r="H30" s="22" t="s">
        <v>110</v>
      </c>
      <c r="I30" s="22" t="s">
        <v>262</v>
      </c>
      <c r="J30" s="24" t="s">
        <v>221</v>
      </c>
      <c r="AC30" s="25" t="s">
        <v>111</v>
      </c>
      <c r="AF30" s="25" t="s">
        <v>111</v>
      </c>
    </row>
    <row r="31" spans="2:36" ht="62.25" customHeight="1">
      <c r="D31" s="31" t="s">
        <v>263</v>
      </c>
      <c r="E31" s="31" t="s">
        <v>264</v>
      </c>
      <c r="F31" s="32">
        <v>46342</v>
      </c>
      <c r="G31" s="32">
        <v>46343</v>
      </c>
      <c r="H31" s="31" t="s">
        <v>110</v>
      </c>
      <c r="I31" s="31" t="s">
        <v>265</v>
      </c>
      <c r="J31" s="24" t="s">
        <v>221</v>
      </c>
      <c r="AF31" s="25" t="s">
        <v>111</v>
      </c>
      <c r="AG31" s="25" t="s">
        <v>111</v>
      </c>
    </row>
    <row r="32" spans="2:36" ht="62.25" customHeight="1">
      <c r="D32" s="22" t="s">
        <v>266</v>
      </c>
      <c r="E32" s="22" t="s">
        <v>267</v>
      </c>
      <c r="F32" s="23">
        <v>46344</v>
      </c>
      <c r="G32" s="23">
        <v>46344</v>
      </c>
      <c r="H32" s="22" t="s">
        <v>110</v>
      </c>
      <c r="I32" s="22" t="s">
        <v>268</v>
      </c>
      <c r="J32" s="24" t="s">
        <v>221</v>
      </c>
      <c r="AH32" s="25" t="s">
        <v>111</v>
      </c>
    </row>
    <row r="33" spans="2:64" ht="62.25" customHeight="1">
      <c r="D33" s="31" t="s">
        <v>269</v>
      </c>
      <c r="E33" s="31" t="s">
        <v>270</v>
      </c>
      <c r="F33" s="32">
        <v>46344</v>
      </c>
      <c r="G33" s="32">
        <v>46345</v>
      </c>
      <c r="H33" s="31" t="s">
        <v>110</v>
      </c>
      <c r="I33" s="31" t="s">
        <v>271</v>
      </c>
      <c r="J33" s="24" t="s">
        <v>221</v>
      </c>
      <c r="AH33" s="25" t="s">
        <v>111</v>
      </c>
      <c r="AI33" s="25" t="s">
        <v>111</v>
      </c>
    </row>
    <row r="34" spans="2:64" ht="62.25" customHeight="1">
      <c r="D34" s="22" t="s">
        <v>119</v>
      </c>
      <c r="E34" s="22" t="s">
        <v>120</v>
      </c>
      <c r="F34" s="23">
        <v>46345</v>
      </c>
      <c r="G34" s="23">
        <v>46345</v>
      </c>
      <c r="H34" s="22" t="s">
        <v>110</v>
      </c>
      <c r="I34" s="22" t="s">
        <v>121</v>
      </c>
      <c r="J34" s="24" t="s">
        <v>221</v>
      </c>
      <c r="AI34" s="25" t="s">
        <v>115</v>
      </c>
    </row>
    <row r="35" spans="2:64" ht="62.25" customHeight="1">
      <c r="D35" s="31" t="s">
        <v>272</v>
      </c>
      <c r="E35" s="31" t="s">
        <v>232</v>
      </c>
      <c r="F35" s="32">
        <v>46346</v>
      </c>
      <c r="G35" s="32">
        <v>46346</v>
      </c>
      <c r="H35" s="31" t="s">
        <v>110</v>
      </c>
      <c r="I35" s="31" t="s">
        <v>233</v>
      </c>
      <c r="J35" s="33" t="s">
        <v>234</v>
      </c>
      <c r="AJ35" s="34" t="s">
        <v>111</v>
      </c>
    </row>
    <row r="36" spans="2:64" ht="87.75" customHeight="1">
      <c r="B36" s="19" t="s">
        <v>26</v>
      </c>
      <c r="C36" s="19"/>
      <c r="D36" s="19"/>
      <c r="E36" s="19" t="s">
        <v>27</v>
      </c>
      <c r="F36" s="20">
        <v>46349</v>
      </c>
      <c r="G36" s="20">
        <v>46360</v>
      </c>
      <c r="H36" s="19" t="s">
        <v>110</v>
      </c>
      <c r="I36" s="19" t="s">
        <v>28</v>
      </c>
      <c r="J36" s="19" t="str">
        <f>IF(COUNTIF(J37:J45,"Done")=9,"Done",IF(COUNTIF(J37:J45,"Blocked")&gt;0,"Blocked",IF(COUNTIF(J37:J45,"Done")+COUNTIF(J37:J45,"In Progress")&gt;0,"In Progress","Not Started")))</f>
        <v>Not Started</v>
      </c>
      <c r="AM36" s="21" t="s">
        <v>111</v>
      </c>
      <c r="AN36" s="21" t="s">
        <v>111</v>
      </c>
      <c r="AO36" s="21" t="s">
        <v>111</v>
      </c>
      <c r="AP36" s="21" t="s">
        <v>111</v>
      </c>
      <c r="AQ36" s="21" t="s">
        <v>111</v>
      </c>
      <c r="AT36" s="21" t="s">
        <v>111</v>
      </c>
      <c r="AU36" s="21" t="s">
        <v>111</v>
      </c>
      <c r="AV36" s="21" t="s">
        <v>111</v>
      </c>
      <c r="AW36" s="21" t="s">
        <v>111</v>
      </c>
      <c r="AX36" s="21" t="s">
        <v>111</v>
      </c>
    </row>
    <row r="37" spans="2:64" ht="62.25" customHeight="1">
      <c r="D37" s="31" t="s">
        <v>273</v>
      </c>
      <c r="E37" s="31" t="s">
        <v>274</v>
      </c>
      <c r="F37" s="32">
        <v>46349</v>
      </c>
      <c r="G37" s="32">
        <v>46349</v>
      </c>
      <c r="H37" s="31" t="s">
        <v>110</v>
      </c>
      <c r="I37" s="31" t="s">
        <v>275</v>
      </c>
      <c r="J37" s="24" t="s">
        <v>221</v>
      </c>
      <c r="AM37" s="25" t="s">
        <v>111</v>
      </c>
    </row>
    <row r="38" spans="2:64" ht="62.25" customHeight="1">
      <c r="D38" s="22" t="s">
        <v>276</v>
      </c>
      <c r="E38" s="22" t="s">
        <v>277</v>
      </c>
      <c r="F38" s="23">
        <v>46350</v>
      </c>
      <c r="G38" s="23">
        <v>46350</v>
      </c>
      <c r="H38" s="22" t="s">
        <v>110</v>
      </c>
      <c r="I38" s="22" t="s">
        <v>278</v>
      </c>
      <c r="J38" s="24" t="s">
        <v>221</v>
      </c>
      <c r="AN38" s="25" t="s">
        <v>111</v>
      </c>
    </row>
    <row r="39" spans="2:64" ht="62.25" customHeight="1">
      <c r="D39" s="31" t="s">
        <v>279</v>
      </c>
      <c r="E39" s="31" t="s">
        <v>280</v>
      </c>
      <c r="F39" s="32">
        <v>46351</v>
      </c>
      <c r="G39" s="32">
        <v>46351</v>
      </c>
      <c r="H39" s="31" t="s">
        <v>110</v>
      </c>
      <c r="I39" s="31" t="s">
        <v>281</v>
      </c>
      <c r="J39" s="24" t="s">
        <v>221</v>
      </c>
      <c r="AO39" s="25" t="s">
        <v>111</v>
      </c>
    </row>
    <row r="40" spans="2:64" ht="62.25" customHeight="1">
      <c r="D40" s="22" t="s">
        <v>282</v>
      </c>
      <c r="E40" s="22" t="s">
        <v>283</v>
      </c>
      <c r="F40" s="23">
        <v>46352</v>
      </c>
      <c r="G40" s="23">
        <v>46353</v>
      </c>
      <c r="H40" s="22" t="s">
        <v>110</v>
      </c>
      <c r="I40" s="22" t="s">
        <v>284</v>
      </c>
      <c r="J40" s="24" t="s">
        <v>221</v>
      </c>
      <c r="AP40" s="25" t="s">
        <v>111</v>
      </c>
      <c r="AQ40" s="25" t="s">
        <v>111</v>
      </c>
    </row>
    <row r="41" spans="2:64" ht="62.25" customHeight="1">
      <c r="D41" s="31" t="s">
        <v>285</v>
      </c>
      <c r="E41" s="31" t="s">
        <v>286</v>
      </c>
      <c r="F41" s="32">
        <v>46353</v>
      </c>
      <c r="G41" s="32">
        <v>46356</v>
      </c>
      <c r="H41" s="31" t="s">
        <v>110</v>
      </c>
      <c r="I41" s="31" t="s">
        <v>287</v>
      </c>
      <c r="J41" s="24" t="s">
        <v>221</v>
      </c>
      <c r="AQ41" s="25" t="s">
        <v>111</v>
      </c>
      <c r="AT41" s="25" t="s">
        <v>111</v>
      </c>
    </row>
    <row r="42" spans="2:64" ht="62.25" customHeight="1">
      <c r="D42" s="22" t="s">
        <v>288</v>
      </c>
      <c r="E42" s="22" t="s">
        <v>289</v>
      </c>
      <c r="F42" s="23">
        <v>46357</v>
      </c>
      <c r="G42" s="23">
        <v>46357</v>
      </c>
      <c r="H42" s="22" t="s">
        <v>110</v>
      </c>
      <c r="I42" s="22" t="s">
        <v>290</v>
      </c>
      <c r="J42" s="24" t="s">
        <v>221</v>
      </c>
      <c r="AU42" s="25" t="s">
        <v>111</v>
      </c>
    </row>
    <row r="43" spans="2:64" ht="62.25" customHeight="1">
      <c r="D43" s="31" t="s">
        <v>291</v>
      </c>
      <c r="E43" s="31" t="s">
        <v>292</v>
      </c>
      <c r="F43" s="32">
        <v>46358</v>
      </c>
      <c r="G43" s="32">
        <v>46358</v>
      </c>
      <c r="H43" s="31" t="s">
        <v>110</v>
      </c>
      <c r="I43" s="31" t="s">
        <v>293</v>
      </c>
      <c r="J43" s="24" t="s">
        <v>221</v>
      </c>
      <c r="AV43" s="25" t="s">
        <v>111</v>
      </c>
    </row>
    <row r="44" spans="2:64" ht="62.25" customHeight="1">
      <c r="D44" s="22" t="s">
        <v>294</v>
      </c>
      <c r="E44" s="22" t="s">
        <v>295</v>
      </c>
      <c r="F44" s="23">
        <v>46359</v>
      </c>
      <c r="G44" s="23">
        <v>46359</v>
      </c>
      <c r="H44" s="22" t="s">
        <v>110</v>
      </c>
      <c r="I44" s="22" t="s">
        <v>296</v>
      </c>
      <c r="J44" s="24" t="s">
        <v>221</v>
      </c>
      <c r="AW44" s="25" t="s">
        <v>111</v>
      </c>
    </row>
    <row r="45" spans="2:64" ht="62.25" customHeight="1">
      <c r="D45" s="31" t="s">
        <v>122</v>
      </c>
      <c r="E45" s="31" t="s">
        <v>123</v>
      </c>
      <c r="F45" s="32">
        <v>46359</v>
      </c>
      <c r="G45" s="32">
        <v>46359</v>
      </c>
      <c r="H45" s="31" t="s">
        <v>110</v>
      </c>
      <c r="I45" s="31" t="s">
        <v>124</v>
      </c>
      <c r="J45" s="24" t="s">
        <v>221</v>
      </c>
      <c r="AW45" s="25" t="s">
        <v>115</v>
      </c>
    </row>
    <row r="46" spans="2:64" ht="62.25" customHeight="1">
      <c r="D46" s="22" t="s">
        <v>297</v>
      </c>
      <c r="E46" s="22" t="s">
        <v>232</v>
      </c>
      <c r="F46" s="23">
        <v>46360</v>
      </c>
      <c r="G46" s="23">
        <v>46360</v>
      </c>
      <c r="H46" s="22" t="s">
        <v>110</v>
      </c>
      <c r="I46" s="22" t="s">
        <v>233</v>
      </c>
      <c r="J46" s="33" t="s">
        <v>234</v>
      </c>
      <c r="AX46" s="34" t="s">
        <v>111</v>
      </c>
    </row>
    <row r="47" spans="2:64" ht="87.75" customHeight="1">
      <c r="B47" s="19" t="s">
        <v>31</v>
      </c>
      <c r="C47" s="19"/>
      <c r="D47" s="19"/>
      <c r="E47" s="19" t="s">
        <v>32</v>
      </c>
      <c r="F47" s="20">
        <v>46363</v>
      </c>
      <c r="G47" s="20">
        <v>46374</v>
      </c>
      <c r="H47" s="19" t="s">
        <v>110</v>
      </c>
      <c r="I47" s="19" t="s">
        <v>33</v>
      </c>
      <c r="J47" s="19" t="str">
        <f>IF(COUNTIF(J48:J55,"Done")=8,"Done",IF(COUNTIF(J48:J55,"Blocked")&gt;0,"Blocked",IF(COUNTIF(J48:J55,"Done")+COUNTIF(J48:J55,"In Progress")&gt;0,"In Progress","Not Started")))</f>
        <v>Not Started</v>
      </c>
      <c r="BA47" s="21" t="s">
        <v>111</v>
      </c>
      <c r="BB47" s="21" t="s">
        <v>111</v>
      </c>
      <c r="BC47" s="21" t="s">
        <v>111</v>
      </c>
      <c r="BD47" s="21" t="s">
        <v>111</v>
      </c>
      <c r="BE47" s="21" t="s">
        <v>111</v>
      </c>
      <c r="BH47" s="21" t="s">
        <v>111</v>
      </c>
      <c r="BI47" s="21" t="s">
        <v>111</v>
      </c>
      <c r="BJ47" s="21" t="s">
        <v>111</v>
      </c>
      <c r="BK47" s="21" t="s">
        <v>111</v>
      </c>
      <c r="BL47" s="21" t="s">
        <v>111</v>
      </c>
    </row>
    <row r="48" spans="2:64" ht="62.25" customHeight="1">
      <c r="D48" s="22" t="s">
        <v>298</v>
      </c>
      <c r="E48" s="22" t="s">
        <v>299</v>
      </c>
      <c r="F48" s="23">
        <v>46363</v>
      </c>
      <c r="G48" s="23">
        <v>46363</v>
      </c>
      <c r="H48" s="22" t="s">
        <v>110</v>
      </c>
      <c r="I48" s="22" t="s">
        <v>300</v>
      </c>
      <c r="J48" s="24" t="s">
        <v>221</v>
      </c>
      <c r="BA48" s="25" t="s">
        <v>111</v>
      </c>
    </row>
    <row r="49" spans="2:85" ht="62.25" customHeight="1">
      <c r="D49" s="31" t="s">
        <v>301</v>
      </c>
      <c r="E49" s="31" t="s">
        <v>302</v>
      </c>
      <c r="F49" s="32">
        <v>46364</v>
      </c>
      <c r="G49" s="32">
        <v>46364</v>
      </c>
      <c r="H49" s="31" t="s">
        <v>110</v>
      </c>
      <c r="I49" s="31" t="s">
        <v>303</v>
      </c>
      <c r="J49" s="24" t="s">
        <v>221</v>
      </c>
      <c r="BB49" s="25" t="s">
        <v>111</v>
      </c>
    </row>
    <row r="50" spans="2:85" ht="62.25" customHeight="1">
      <c r="D50" s="22" t="s">
        <v>304</v>
      </c>
      <c r="E50" s="22" t="s">
        <v>305</v>
      </c>
      <c r="F50" s="23">
        <v>46365</v>
      </c>
      <c r="G50" s="23">
        <v>46366</v>
      </c>
      <c r="H50" s="22" t="s">
        <v>110</v>
      </c>
      <c r="I50" s="22" t="s">
        <v>306</v>
      </c>
      <c r="J50" s="24" t="s">
        <v>221</v>
      </c>
      <c r="BC50" s="25" t="s">
        <v>111</v>
      </c>
      <c r="BD50" s="25" t="s">
        <v>111</v>
      </c>
    </row>
    <row r="51" spans="2:85" ht="62.25" customHeight="1">
      <c r="D51" s="31" t="s">
        <v>307</v>
      </c>
      <c r="E51" s="31" t="s">
        <v>308</v>
      </c>
      <c r="F51" s="32">
        <v>46367</v>
      </c>
      <c r="G51" s="32">
        <v>46367</v>
      </c>
      <c r="H51" s="31" t="s">
        <v>110</v>
      </c>
      <c r="I51" s="31" t="s">
        <v>309</v>
      </c>
      <c r="J51" s="24" t="s">
        <v>221</v>
      </c>
      <c r="BE51" s="25" t="s">
        <v>111</v>
      </c>
    </row>
    <row r="52" spans="2:85" ht="62.25" customHeight="1">
      <c r="D52" s="22" t="s">
        <v>310</v>
      </c>
      <c r="E52" s="22" t="s">
        <v>311</v>
      </c>
      <c r="F52" s="23">
        <v>46370</v>
      </c>
      <c r="G52" s="23">
        <v>46371</v>
      </c>
      <c r="H52" s="22" t="s">
        <v>110</v>
      </c>
      <c r="I52" s="22" t="s">
        <v>312</v>
      </c>
      <c r="J52" s="24" t="s">
        <v>221</v>
      </c>
      <c r="BH52" s="25" t="s">
        <v>111</v>
      </c>
      <c r="BI52" s="25" t="s">
        <v>111</v>
      </c>
    </row>
    <row r="53" spans="2:85" ht="62.25" customHeight="1">
      <c r="D53" s="31" t="s">
        <v>313</v>
      </c>
      <c r="E53" s="31" t="s">
        <v>314</v>
      </c>
      <c r="F53" s="32">
        <v>46371</v>
      </c>
      <c r="G53" s="32">
        <v>46372</v>
      </c>
      <c r="H53" s="31" t="s">
        <v>110</v>
      </c>
      <c r="I53" s="31" t="s">
        <v>315</v>
      </c>
      <c r="J53" s="24" t="s">
        <v>221</v>
      </c>
      <c r="BI53" s="25" t="s">
        <v>111</v>
      </c>
      <c r="BJ53" s="25" t="s">
        <v>111</v>
      </c>
    </row>
    <row r="54" spans="2:85" ht="62.25" customHeight="1">
      <c r="D54" s="22" t="s">
        <v>316</v>
      </c>
      <c r="E54" s="22" t="s">
        <v>317</v>
      </c>
      <c r="F54" s="23">
        <v>46372</v>
      </c>
      <c r="G54" s="23">
        <v>46373</v>
      </c>
      <c r="H54" s="22" t="s">
        <v>110</v>
      </c>
      <c r="I54" s="22" t="s">
        <v>318</v>
      </c>
      <c r="J54" s="24" t="s">
        <v>221</v>
      </c>
      <c r="BJ54" s="25" t="s">
        <v>111</v>
      </c>
      <c r="BK54" s="25" t="s">
        <v>111</v>
      </c>
    </row>
    <row r="55" spans="2:85" ht="62.25" customHeight="1">
      <c r="D55" s="31" t="s">
        <v>125</v>
      </c>
      <c r="E55" s="31" t="s">
        <v>126</v>
      </c>
      <c r="F55" s="32">
        <v>46373</v>
      </c>
      <c r="G55" s="32">
        <v>46373</v>
      </c>
      <c r="H55" s="31" t="s">
        <v>110</v>
      </c>
      <c r="I55" s="31" t="s">
        <v>127</v>
      </c>
      <c r="J55" s="24" t="s">
        <v>221</v>
      </c>
      <c r="BK55" s="25" t="s">
        <v>115</v>
      </c>
    </row>
    <row r="56" spans="2:85" ht="62.25" customHeight="1">
      <c r="D56" s="22" t="s">
        <v>319</v>
      </c>
      <c r="E56" s="22" t="s">
        <v>232</v>
      </c>
      <c r="F56" s="23">
        <v>46374</v>
      </c>
      <c r="G56" s="23">
        <v>46374</v>
      </c>
      <c r="H56" s="22" t="s">
        <v>110</v>
      </c>
      <c r="I56" s="22" t="s">
        <v>233</v>
      </c>
      <c r="J56" s="33" t="s">
        <v>234</v>
      </c>
      <c r="BL56" s="34" t="s">
        <v>111</v>
      </c>
    </row>
    <row r="57" spans="2:85" ht="87.75" customHeight="1">
      <c r="B57" s="19" t="s">
        <v>36</v>
      </c>
      <c r="C57" s="19"/>
      <c r="D57" s="19"/>
      <c r="E57" s="19" t="s">
        <v>37</v>
      </c>
      <c r="F57" s="20">
        <v>46377</v>
      </c>
      <c r="G57" s="20">
        <v>46381</v>
      </c>
      <c r="H57" s="19" t="s">
        <v>110</v>
      </c>
      <c r="I57" s="19" t="s">
        <v>38</v>
      </c>
      <c r="J57" s="19" t="str">
        <f>IF(COUNTIF(J58:J62,"Done")=5,"Done",IF(COUNTIF(J58:J62,"Blocked")&gt;0,"Blocked",IF(COUNTIF(J58:J62,"Done")+COUNTIF(J58:J62,"In Progress")&gt;0,"In Progress","Not Started")))</f>
        <v>Not Started</v>
      </c>
      <c r="BO57" s="21" t="s">
        <v>111</v>
      </c>
      <c r="BP57" s="21" t="s">
        <v>111</v>
      </c>
      <c r="BQ57" s="21" t="s">
        <v>111</v>
      </c>
      <c r="BR57" s="21" t="s">
        <v>111</v>
      </c>
      <c r="BS57" s="21" t="s">
        <v>111</v>
      </c>
    </row>
    <row r="58" spans="2:85" ht="62.25" customHeight="1">
      <c r="D58" s="22" t="s">
        <v>320</v>
      </c>
      <c r="E58" s="22" t="s">
        <v>321</v>
      </c>
      <c r="F58" s="23">
        <v>46377</v>
      </c>
      <c r="G58" s="23">
        <v>46377</v>
      </c>
      <c r="H58" s="22" t="s">
        <v>110</v>
      </c>
      <c r="I58" s="22" t="s">
        <v>322</v>
      </c>
      <c r="J58" s="24" t="s">
        <v>221</v>
      </c>
      <c r="BO58" s="25" t="s">
        <v>111</v>
      </c>
    </row>
    <row r="59" spans="2:85" ht="62.25" customHeight="1">
      <c r="D59" s="31" t="s">
        <v>323</v>
      </c>
      <c r="E59" s="31" t="s">
        <v>324</v>
      </c>
      <c r="F59" s="32">
        <v>46378</v>
      </c>
      <c r="G59" s="32">
        <v>46378</v>
      </c>
      <c r="H59" s="31" t="s">
        <v>110</v>
      </c>
      <c r="I59" s="31" t="s">
        <v>325</v>
      </c>
      <c r="J59" s="24" t="s">
        <v>221</v>
      </c>
      <c r="BP59" s="25" t="s">
        <v>111</v>
      </c>
    </row>
    <row r="60" spans="2:85" ht="62.25" customHeight="1">
      <c r="D60" s="22" t="s">
        <v>326</v>
      </c>
      <c r="E60" s="22" t="s">
        <v>327</v>
      </c>
      <c r="F60" s="23">
        <v>46379</v>
      </c>
      <c r="G60" s="23">
        <v>46379</v>
      </c>
      <c r="H60" s="22" t="s">
        <v>110</v>
      </c>
      <c r="I60" s="22" t="s">
        <v>328</v>
      </c>
      <c r="J60" s="24" t="s">
        <v>221</v>
      </c>
      <c r="BQ60" s="25" t="s">
        <v>111</v>
      </c>
    </row>
    <row r="61" spans="2:85" ht="62.25" customHeight="1">
      <c r="D61" s="31" t="s">
        <v>329</v>
      </c>
      <c r="E61" s="31" t="s">
        <v>330</v>
      </c>
      <c r="F61" s="32">
        <v>46380</v>
      </c>
      <c r="G61" s="32">
        <v>46380</v>
      </c>
      <c r="H61" s="31" t="s">
        <v>110</v>
      </c>
      <c r="I61" s="31" t="s">
        <v>331</v>
      </c>
      <c r="J61" s="24" t="s">
        <v>221</v>
      </c>
      <c r="BR61" s="25" t="s">
        <v>111</v>
      </c>
    </row>
    <row r="62" spans="2:85" ht="62.25" customHeight="1">
      <c r="D62" s="22" t="s">
        <v>128</v>
      </c>
      <c r="E62" s="22" t="s">
        <v>129</v>
      </c>
      <c r="F62" s="23">
        <v>46380</v>
      </c>
      <c r="G62" s="23">
        <v>46380</v>
      </c>
      <c r="H62" s="22" t="s">
        <v>110</v>
      </c>
      <c r="I62" s="22" t="s">
        <v>130</v>
      </c>
      <c r="J62" s="24" t="s">
        <v>221</v>
      </c>
      <c r="BR62" s="25" t="s">
        <v>115</v>
      </c>
    </row>
    <row r="63" spans="2:85" ht="62.25" customHeight="1">
      <c r="D63" s="31" t="s">
        <v>332</v>
      </c>
      <c r="E63" s="31" t="s">
        <v>232</v>
      </c>
      <c r="F63" s="32">
        <v>46381</v>
      </c>
      <c r="G63" s="32">
        <v>46381</v>
      </c>
      <c r="H63" s="31" t="s">
        <v>110</v>
      </c>
      <c r="I63" s="31" t="s">
        <v>233</v>
      </c>
      <c r="J63" s="33" t="s">
        <v>234</v>
      </c>
      <c r="BS63" s="34" t="s">
        <v>111</v>
      </c>
    </row>
    <row r="64" spans="2:85" ht="87.75" customHeight="1">
      <c r="B64" s="19" t="s">
        <v>41</v>
      </c>
      <c r="C64" s="19"/>
      <c r="D64" s="19"/>
      <c r="E64" s="19" t="s">
        <v>42</v>
      </c>
      <c r="F64" s="20">
        <v>46384</v>
      </c>
      <c r="G64" s="20">
        <v>46395</v>
      </c>
      <c r="H64" s="19" t="s">
        <v>110</v>
      </c>
      <c r="I64" s="19" t="s">
        <v>43</v>
      </c>
      <c r="J64" s="19" t="str">
        <f>IF(COUNTIF(J65:J74,"Done")=10,"Done",IF(COUNTIF(J65:J74,"Blocked")&gt;0,"Blocked",IF(COUNTIF(J65:J74,"Done")+COUNTIF(J65:J74,"In Progress")&gt;0,"In Progress","Not Started")))</f>
        <v>Not Started</v>
      </c>
      <c r="BV64" s="21" t="s">
        <v>111</v>
      </c>
      <c r="BW64" s="21" t="s">
        <v>111</v>
      </c>
      <c r="BX64" s="21" t="s">
        <v>111</v>
      </c>
      <c r="BY64" s="21" t="s">
        <v>111</v>
      </c>
      <c r="BZ64" s="21" t="s">
        <v>111</v>
      </c>
      <c r="CC64" s="21" t="s">
        <v>111</v>
      </c>
      <c r="CD64" s="21" t="s">
        <v>111</v>
      </c>
      <c r="CE64" s="21" t="s">
        <v>111</v>
      </c>
      <c r="CF64" s="21" t="s">
        <v>111</v>
      </c>
      <c r="CG64" s="21" t="s">
        <v>111</v>
      </c>
    </row>
    <row r="65" spans="2:92" ht="62.25" customHeight="1">
      <c r="D65" s="31" t="s">
        <v>333</v>
      </c>
      <c r="E65" s="31" t="s">
        <v>334</v>
      </c>
      <c r="F65" s="32">
        <v>46384</v>
      </c>
      <c r="G65" s="32">
        <v>46384</v>
      </c>
      <c r="H65" s="31" t="s">
        <v>110</v>
      </c>
      <c r="I65" s="31" t="s">
        <v>335</v>
      </c>
      <c r="J65" s="24" t="s">
        <v>221</v>
      </c>
      <c r="BV65" s="25" t="s">
        <v>111</v>
      </c>
    </row>
    <row r="66" spans="2:92" ht="62.25" customHeight="1">
      <c r="D66" s="22" t="s">
        <v>336</v>
      </c>
      <c r="E66" s="22" t="s">
        <v>337</v>
      </c>
      <c r="F66" s="23">
        <v>46385</v>
      </c>
      <c r="G66" s="23">
        <v>46385</v>
      </c>
      <c r="H66" s="22" t="s">
        <v>110</v>
      </c>
      <c r="I66" s="22" t="s">
        <v>338</v>
      </c>
      <c r="J66" s="24" t="s">
        <v>221</v>
      </c>
      <c r="BW66" s="25" t="s">
        <v>111</v>
      </c>
    </row>
    <row r="67" spans="2:92" ht="62.25" customHeight="1">
      <c r="D67" s="31" t="s">
        <v>339</v>
      </c>
      <c r="E67" s="31" t="s">
        <v>340</v>
      </c>
      <c r="F67" s="32">
        <v>46386</v>
      </c>
      <c r="G67" s="32">
        <v>46386</v>
      </c>
      <c r="H67" s="31" t="s">
        <v>110</v>
      </c>
      <c r="I67" s="31" t="s">
        <v>341</v>
      </c>
      <c r="J67" s="24" t="s">
        <v>221</v>
      </c>
      <c r="BX67" s="25" t="s">
        <v>111</v>
      </c>
    </row>
    <row r="68" spans="2:92" ht="62.25" customHeight="1">
      <c r="D68" s="22" t="s">
        <v>342</v>
      </c>
      <c r="E68" s="22" t="s">
        <v>343</v>
      </c>
      <c r="F68" s="23">
        <v>46387</v>
      </c>
      <c r="G68" s="23">
        <v>46387</v>
      </c>
      <c r="H68" s="22" t="s">
        <v>110</v>
      </c>
      <c r="I68" s="22" t="s">
        <v>344</v>
      </c>
      <c r="J68" s="24" t="s">
        <v>221</v>
      </c>
      <c r="BY68" s="25" t="s">
        <v>111</v>
      </c>
    </row>
    <row r="69" spans="2:92" ht="62.25" customHeight="1">
      <c r="D69" s="31" t="s">
        <v>345</v>
      </c>
      <c r="E69" s="31" t="s">
        <v>346</v>
      </c>
      <c r="F69" s="32">
        <v>46391</v>
      </c>
      <c r="G69" s="32">
        <v>46391</v>
      </c>
      <c r="H69" s="31" t="s">
        <v>110</v>
      </c>
      <c r="I69" s="31" t="s">
        <v>347</v>
      </c>
      <c r="J69" s="24" t="s">
        <v>221</v>
      </c>
      <c r="CC69" s="25" t="s">
        <v>111</v>
      </c>
    </row>
    <row r="70" spans="2:92" ht="62.25" customHeight="1">
      <c r="D70" s="22" t="s">
        <v>348</v>
      </c>
      <c r="E70" s="22" t="s">
        <v>349</v>
      </c>
      <c r="F70" s="23">
        <v>46392</v>
      </c>
      <c r="G70" s="23">
        <v>46392</v>
      </c>
      <c r="H70" s="22" t="s">
        <v>110</v>
      </c>
      <c r="I70" s="22" t="s">
        <v>350</v>
      </c>
      <c r="J70" s="24" t="s">
        <v>221</v>
      </c>
      <c r="CD70" s="25" t="s">
        <v>111</v>
      </c>
    </row>
    <row r="71" spans="2:92" ht="62.25" customHeight="1">
      <c r="D71" s="31" t="s">
        <v>351</v>
      </c>
      <c r="E71" s="31" t="s">
        <v>352</v>
      </c>
      <c r="F71" s="32">
        <v>46393</v>
      </c>
      <c r="G71" s="32">
        <v>46393</v>
      </c>
      <c r="H71" s="31" t="s">
        <v>110</v>
      </c>
      <c r="I71" s="31" t="s">
        <v>353</v>
      </c>
      <c r="J71" s="24" t="s">
        <v>221</v>
      </c>
      <c r="CE71" s="25" t="s">
        <v>111</v>
      </c>
    </row>
    <row r="72" spans="2:92" ht="62.25" customHeight="1">
      <c r="D72" s="22" t="s">
        <v>354</v>
      </c>
      <c r="E72" s="22" t="s">
        <v>355</v>
      </c>
      <c r="F72" s="23">
        <v>46394</v>
      </c>
      <c r="G72" s="23">
        <v>46394</v>
      </c>
      <c r="H72" s="22" t="s">
        <v>110</v>
      </c>
      <c r="I72" s="22" t="s">
        <v>356</v>
      </c>
      <c r="J72" s="24" t="s">
        <v>221</v>
      </c>
      <c r="CF72" s="25" t="s">
        <v>111</v>
      </c>
    </row>
    <row r="73" spans="2:92" ht="62.25" customHeight="1">
      <c r="D73" s="31" t="s">
        <v>357</v>
      </c>
      <c r="E73" s="31" t="s">
        <v>358</v>
      </c>
      <c r="F73" s="32">
        <v>46395</v>
      </c>
      <c r="G73" s="32">
        <v>46395</v>
      </c>
      <c r="H73" s="31" t="s">
        <v>110</v>
      </c>
      <c r="I73" s="31" t="s">
        <v>359</v>
      </c>
      <c r="J73" s="24" t="s">
        <v>221</v>
      </c>
      <c r="CG73" s="25" t="s">
        <v>111</v>
      </c>
    </row>
    <row r="74" spans="2:92" ht="62.25" customHeight="1">
      <c r="D74" s="22" t="s">
        <v>131</v>
      </c>
      <c r="E74" s="22" t="s">
        <v>132</v>
      </c>
      <c r="F74" s="23">
        <v>46395</v>
      </c>
      <c r="G74" s="23">
        <v>46395</v>
      </c>
      <c r="H74" s="22" t="s">
        <v>110</v>
      </c>
      <c r="I74" s="22" t="s">
        <v>133</v>
      </c>
      <c r="J74" s="24" t="s">
        <v>221</v>
      </c>
      <c r="CG74" s="25" t="s">
        <v>115</v>
      </c>
    </row>
    <row r="75" spans="2:92" ht="62.25" customHeight="1">
      <c r="D75" s="31" t="s">
        <v>360</v>
      </c>
      <c r="E75" s="31" t="s">
        <v>361</v>
      </c>
      <c r="F75" s="32">
        <v>46388</v>
      </c>
      <c r="G75" s="32">
        <v>46388</v>
      </c>
      <c r="H75" s="31" t="s">
        <v>110</v>
      </c>
      <c r="I75" s="31" t="s">
        <v>233</v>
      </c>
      <c r="J75" s="33" t="s">
        <v>234</v>
      </c>
      <c r="BZ75" s="34" t="s">
        <v>362</v>
      </c>
    </row>
    <row r="76" spans="2:92" ht="87.75" customHeight="1">
      <c r="B76" s="19" t="s">
        <v>46</v>
      </c>
      <c r="C76" s="19"/>
      <c r="D76" s="19"/>
      <c r="E76" s="19" t="s">
        <v>47</v>
      </c>
      <c r="F76" s="20">
        <v>46398</v>
      </c>
      <c r="G76" s="20">
        <v>46402</v>
      </c>
      <c r="H76" s="19" t="s">
        <v>110</v>
      </c>
      <c r="I76" s="19" t="s">
        <v>48</v>
      </c>
      <c r="J76" s="19" t="str">
        <f>IF(COUNTIF(J77:J82,"Done")=6,"Done",IF(COUNTIF(J77:J82,"Blocked")&gt;0,"Blocked",IF(COUNTIF(J77:J82,"Done")+COUNTIF(J77:J82,"In Progress")&gt;0,"In Progress","Not Started")))</f>
        <v>Not Started</v>
      </c>
      <c r="CJ76" s="21" t="s">
        <v>111</v>
      </c>
      <c r="CK76" s="21" t="s">
        <v>111</v>
      </c>
      <c r="CL76" s="21" t="s">
        <v>111</v>
      </c>
      <c r="CM76" s="21" t="s">
        <v>111</v>
      </c>
      <c r="CN76" s="21" t="s">
        <v>111</v>
      </c>
    </row>
    <row r="77" spans="2:92" ht="62.25" customHeight="1">
      <c r="D77" s="31" t="s">
        <v>363</v>
      </c>
      <c r="E77" s="31" t="s">
        <v>364</v>
      </c>
      <c r="F77" s="32">
        <v>46398</v>
      </c>
      <c r="G77" s="32">
        <v>46398</v>
      </c>
      <c r="H77" s="31" t="s">
        <v>110</v>
      </c>
      <c r="I77" s="31" t="s">
        <v>365</v>
      </c>
      <c r="J77" s="24" t="s">
        <v>221</v>
      </c>
      <c r="CJ77" s="25" t="s">
        <v>111</v>
      </c>
    </row>
    <row r="78" spans="2:92" ht="62.25" customHeight="1">
      <c r="D78" s="22" t="s">
        <v>366</v>
      </c>
      <c r="E78" s="22" t="s">
        <v>367</v>
      </c>
      <c r="F78" s="23">
        <v>46399</v>
      </c>
      <c r="G78" s="23">
        <v>46399</v>
      </c>
      <c r="H78" s="22" t="s">
        <v>110</v>
      </c>
      <c r="I78" s="22" t="s">
        <v>368</v>
      </c>
      <c r="J78" s="24" t="s">
        <v>221</v>
      </c>
      <c r="CK78" s="25" t="s">
        <v>111</v>
      </c>
    </row>
    <row r="79" spans="2:92" ht="62.25" customHeight="1">
      <c r="D79" s="31" t="s">
        <v>369</v>
      </c>
      <c r="E79" s="31" t="s">
        <v>370</v>
      </c>
      <c r="F79" s="32">
        <v>46400</v>
      </c>
      <c r="G79" s="32">
        <v>46400</v>
      </c>
      <c r="H79" s="31" t="s">
        <v>110</v>
      </c>
      <c r="I79" s="31" t="s">
        <v>371</v>
      </c>
      <c r="J79" s="24" t="s">
        <v>221</v>
      </c>
      <c r="CL79" s="25" t="s">
        <v>111</v>
      </c>
    </row>
    <row r="80" spans="2:92" ht="62.25" customHeight="1">
      <c r="D80" s="22" t="s">
        <v>372</v>
      </c>
      <c r="E80" s="22" t="s">
        <v>373</v>
      </c>
      <c r="F80" s="23">
        <v>46400</v>
      </c>
      <c r="G80" s="23">
        <v>46400</v>
      </c>
      <c r="H80" s="22" t="s">
        <v>110</v>
      </c>
      <c r="I80" s="22" t="s">
        <v>374</v>
      </c>
      <c r="J80" s="24" t="s">
        <v>221</v>
      </c>
      <c r="CL80" s="25" t="s">
        <v>111</v>
      </c>
    </row>
    <row r="81" spans="2:106" ht="62.25" customHeight="1">
      <c r="D81" s="31" t="s">
        <v>375</v>
      </c>
      <c r="E81" s="31" t="s">
        <v>376</v>
      </c>
      <c r="F81" s="32">
        <v>46401</v>
      </c>
      <c r="G81" s="32">
        <v>46401</v>
      </c>
      <c r="H81" s="31" t="s">
        <v>110</v>
      </c>
      <c r="I81" s="31" t="s">
        <v>377</v>
      </c>
      <c r="J81" s="24" t="s">
        <v>221</v>
      </c>
      <c r="CM81" s="25" t="s">
        <v>111</v>
      </c>
    </row>
    <row r="82" spans="2:106" ht="62.25" customHeight="1">
      <c r="D82" s="22" t="s">
        <v>134</v>
      </c>
      <c r="E82" s="22" t="s">
        <v>135</v>
      </c>
      <c r="F82" s="23">
        <v>46401</v>
      </c>
      <c r="G82" s="23">
        <v>46401</v>
      </c>
      <c r="H82" s="22" t="s">
        <v>110</v>
      </c>
      <c r="I82" s="22" t="s">
        <v>136</v>
      </c>
      <c r="J82" s="24" t="s">
        <v>221</v>
      </c>
      <c r="CM82" s="25" t="s">
        <v>115</v>
      </c>
    </row>
    <row r="83" spans="2:106" ht="62.25" customHeight="1">
      <c r="D83" s="31" t="s">
        <v>378</v>
      </c>
      <c r="E83" s="31" t="s">
        <v>232</v>
      </c>
      <c r="F83" s="32">
        <v>46402</v>
      </c>
      <c r="G83" s="32">
        <v>46402</v>
      </c>
      <c r="H83" s="31" t="s">
        <v>110</v>
      </c>
      <c r="I83" s="31" t="s">
        <v>233</v>
      </c>
      <c r="J83" s="33" t="s">
        <v>234</v>
      </c>
      <c r="CN83" s="34" t="s">
        <v>111</v>
      </c>
    </row>
    <row r="84" spans="2:106" ht="87.75" customHeight="1">
      <c r="B84" s="19" t="s">
        <v>51</v>
      </c>
      <c r="C84" s="19"/>
      <c r="D84" s="19"/>
      <c r="E84" s="19" t="s">
        <v>52</v>
      </c>
      <c r="F84" s="20">
        <v>46405</v>
      </c>
      <c r="G84" s="20">
        <v>46416</v>
      </c>
      <c r="H84" s="19" t="s">
        <v>110</v>
      </c>
      <c r="I84" s="19" t="s">
        <v>53</v>
      </c>
      <c r="J84" s="19" t="str">
        <f>IF(COUNTIF(J85:J93,"Done")=9,"Done",IF(COUNTIF(J85:J93,"Blocked")&gt;0,"Blocked",IF(COUNTIF(J85:J93,"Done")+COUNTIF(J85:J93,"In Progress")&gt;0,"In Progress","Not Started")))</f>
        <v>Not Started</v>
      </c>
      <c r="CQ84" s="21" t="s">
        <v>111</v>
      </c>
      <c r="CR84" s="21" t="s">
        <v>111</v>
      </c>
      <c r="CS84" s="21" t="s">
        <v>111</v>
      </c>
      <c r="CT84" s="21" t="s">
        <v>111</v>
      </c>
      <c r="CU84" s="21" t="s">
        <v>111</v>
      </c>
      <c r="CX84" s="21" t="s">
        <v>111</v>
      </c>
      <c r="CY84" s="21" t="s">
        <v>111</v>
      </c>
      <c r="CZ84" s="21" t="s">
        <v>111</v>
      </c>
      <c r="DA84" s="21" t="s">
        <v>111</v>
      </c>
      <c r="DB84" s="21" t="s">
        <v>111</v>
      </c>
    </row>
    <row r="85" spans="2:106" ht="62.25" customHeight="1">
      <c r="D85" s="31" t="s">
        <v>379</v>
      </c>
      <c r="E85" s="31" t="s">
        <v>380</v>
      </c>
      <c r="F85" s="32">
        <v>46405</v>
      </c>
      <c r="G85" s="32">
        <v>46405</v>
      </c>
      <c r="H85" s="31" t="s">
        <v>110</v>
      </c>
      <c r="I85" s="31" t="s">
        <v>381</v>
      </c>
      <c r="J85" s="24" t="s">
        <v>221</v>
      </c>
      <c r="CQ85" s="25" t="s">
        <v>111</v>
      </c>
    </row>
    <row r="86" spans="2:106" ht="62.25" customHeight="1">
      <c r="D86" s="22" t="s">
        <v>382</v>
      </c>
      <c r="E86" s="22" t="s">
        <v>383</v>
      </c>
      <c r="F86" s="23">
        <v>46406</v>
      </c>
      <c r="G86" s="23">
        <v>46406</v>
      </c>
      <c r="H86" s="22" t="s">
        <v>110</v>
      </c>
      <c r="I86" s="22" t="s">
        <v>384</v>
      </c>
      <c r="J86" s="24" t="s">
        <v>221</v>
      </c>
      <c r="CR86" s="25" t="s">
        <v>111</v>
      </c>
    </row>
    <row r="87" spans="2:106" ht="62.25" customHeight="1">
      <c r="D87" s="31" t="s">
        <v>385</v>
      </c>
      <c r="E87" s="31" t="s">
        <v>386</v>
      </c>
      <c r="F87" s="32">
        <v>46407</v>
      </c>
      <c r="G87" s="32">
        <v>46407</v>
      </c>
      <c r="H87" s="31" t="s">
        <v>110</v>
      </c>
      <c r="I87" s="31" t="s">
        <v>387</v>
      </c>
      <c r="J87" s="24" t="s">
        <v>221</v>
      </c>
      <c r="CS87" s="25" t="s">
        <v>111</v>
      </c>
    </row>
    <row r="88" spans="2:106" ht="62.25" customHeight="1">
      <c r="D88" s="22" t="s">
        <v>388</v>
      </c>
      <c r="E88" s="22" t="s">
        <v>389</v>
      </c>
      <c r="F88" s="23">
        <v>46408</v>
      </c>
      <c r="G88" s="23">
        <v>46408</v>
      </c>
      <c r="H88" s="22" t="s">
        <v>110</v>
      </c>
      <c r="I88" s="22" t="s">
        <v>390</v>
      </c>
      <c r="J88" s="24" t="s">
        <v>221</v>
      </c>
      <c r="CT88" s="25" t="s">
        <v>111</v>
      </c>
    </row>
    <row r="89" spans="2:106" ht="62.25" customHeight="1">
      <c r="D89" s="31" t="s">
        <v>391</v>
      </c>
      <c r="E89" s="31" t="s">
        <v>392</v>
      </c>
      <c r="F89" s="32">
        <v>46409</v>
      </c>
      <c r="G89" s="32">
        <v>46409</v>
      </c>
      <c r="H89" s="31" t="s">
        <v>110</v>
      </c>
      <c r="I89" s="31" t="s">
        <v>393</v>
      </c>
      <c r="J89" s="24" t="s">
        <v>221</v>
      </c>
      <c r="CU89" s="25" t="s">
        <v>111</v>
      </c>
    </row>
    <row r="90" spans="2:106" ht="62.25" customHeight="1">
      <c r="D90" s="22" t="s">
        <v>394</v>
      </c>
      <c r="E90" s="22" t="s">
        <v>395</v>
      </c>
      <c r="F90" s="23">
        <v>46412</v>
      </c>
      <c r="G90" s="23">
        <v>46412</v>
      </c>
      <c r="H90" s="22" t="s">
        <v>110</v>
      </c>
      <c r="I90" s="22" t="s">
        <v>396</v>
      </c>
      <c r="J90" s="24" t="s">
        <v>221</v>
      </c>
      <c r="CX90" s="25" t="s">
        <v>111</v>
      </c>
    </row>
    <row r="91" spans="2:106" ht="62.25" customHeight="1">
      <c r="D91" s="31" t="s">
        <v>397</v>
      </c>
      <c r="E91" s="31" t="s">
        <v>398</v>
      </c>
      <c r="F91" s="32">
        <v>46413</v>
      </c>
      <c r="G91" s="32">
        <v>46413</v>
      </c>
      <c r="H91" s="31" t="s">
        <v>110</v>
      </c>
      <c r="I91" s="31" t="s">
        <v>399</v>
      </c>
      <c r="J91" s="24" t="s">
        <v>221</v>
      </c>
      <c r="CY91" s="25" t="s">
        <v>111</v>
      </c>
    </row>
    <row r="92" spans="2:106" ht="62.25" customHeight="1">
      <c r="D92" s="22" t="s">
        <v>400</v>
      </c>
      <c r="E92" s="22" t="s">
        <v>401</v>
      </c>
      <c r="F92" s="23">
        <v>46413</v>
      </c>
      <c r="G92" s="23">
        <v>46414</v>
      </c>
      <c r="H92" s="22" t="s">
        <v>110</v>
      </c>
      <c r="I92" s="22" t="s">
        <v>402</v>
      </c>
      <c r="J92" s="24" t="s">
        <v>221</v>
      </c>
      <c r="CY92" s="25" t="s">
        <v>111</v>
      </c>
      <c r="CZ92" s="25" t="s">
        <v>111</v>
      </c>
    </row>
    <row r="93" spans="2:106" ht="62.25" customHeight="1">
      <c r="D93" s="31" t="s">
        <v>137</v>
      </c>
      <c r="E93" s="31" t="s">
        <v>138</v>
      </c>
      <c r="F93" s="32">
        <v>46414</v>
      </c>
      <c r="G93" s="32">
        <v>46414</v>
      </c>
      <c r="H93" s="31" t="s">
        <v>110</v>
      </c>
      <c r="I93" s="31" t="s">
        <v>139</v>
      </c>
      <c r="J93" s="24" t="s">
        <v>221</v>
      </c>
      <c r="CZ93" s="25" t="s">
        <v>115</v>
      </c>
    </row>
    <row r="94" spans="2:106" ht="62.25" customHeight="1">
      <c r="D94" s="22" t="s">
        <v>403</v>
      </c>
      <c r="E94" s="22" t="s">
        <v>232</v>
      </c>
      <c r="F94" s="23">
        <v>46415</v>
      </c>
      <c r="G94" s="23">
        <v>46416</v>
      </c>
      <c r="H94" s="22" t="s">
        <v>110</v>
      </c>
      <c r="I94" s="22" t="s">
        <v>233</v>
      </c>
      <c r="J94" s="33" t="s">
        <v>234</v>
      </c>
      <c r="DA94" s="34" t="s">
        <v>111</v>
      </c>
      <c r="DB94" s="34" t="s">
        <v>111</v>
      </c>
    </row>
  </sheetData>
  <mergeCells count="34">
    <mergeCell ref="A1:J1"/>
    <mergeCell ref="A2:J2"/>
    <mergeCell ref="B4:J4"/>
    <mergeCell ref="B5:J5"/>
    <mergeCell ref="B6:J6"/>
    <mergeCell ref="B8:E10"/>
    <mergeCell ref="F8:F10"/>
    <mergeCell ref="G8:G10"/>
    <mergeCell ref="H8:H10"/>
    <mergeCell ref="I8:I10"/>
    <mergeCell ref="J8:J10"/>
    <mergeCell ref="K8:Q8"/>
    <mergeCell ref="R8:X8"/>
    <mergeCell ref="Y8:AE8"/>
    <mergeCell ref="AF8:AL8"/>
    <mergeCell ref="AM8:AS8"/>
    <mergeCell ref="AT8:AZ8"/>
    <mergeCell ref="BA8:BG8"/>
    <mergeCell ref="BH8:BN8"/>
    <mergeCell ref="BO8:BU8"/>
    <mergeCell ref="BV8:CB8"/>
    <mergeCell ref="CC8:CI8"/>
    <mergeCell ref="CJ8:CP8"/>
    <mergeCell ref="CQ8:CW8"/>
    <mergeCell ref="CX8:DD8"/>
    <mergeCell ref="B11:D11"/>
    <mergeCell ref="B18:D18"/>
    <mergeCell ref="B25:D25"/>
    <mergeCell ref="B36:D36"/>
    <mergeCell ref="B47:D47"/>
    <mergeCell ref="B57:D57"/>
    <mergeCell ref="B64:D64"/>
    <mergeCell ref="B76:D76"/>
    <mergeCell ref="B84:D84"/>
  </mergeCells>
  <conditionalFormatting sqref="K11:DD11">
    <cfRule type="expression" dxfId="0" priority="1">
      <formula>AND($J11="Not Started",K11&lt;&gt;"")</formula>
    </cfRule>
    <cfRule type="expression" dxfId="1" priority="2">
      <formula>AND($J11="In Progress",K11&lt;&gt;"")</formula>
    </cfRule>
    <cfRule type="expression" dxfId="2" priority="3">
      <formula>AND($J11="Done",K11&lt;&gt;"")</formula>
    </cfRule>
    <cfRule type="expression" dxfId="3" priority="4">
      <formula>AND($J11="Blocked",K11&lt;&gt;"")</formula>
    </cfRule>
    <cfRule type="expression" dxfId="4" priority="5">
      <formula>AND($J11="Deferred",K11&lt;&gt;"")</formula>
    </cfRule>
    <cfRule type="expression" dxfId="5" priority="6">
      <formula>AND($J11="Contingency",K11&lt;&gt;"")</formula>
    </cfRule>
  </conditionalFormatting>
  <conditionalFormatting sqref="K12:DD12">
    <cfRule type="expression" dxfId="0" priority="7">
      <formula>AND($J12="Not Started",K12&lt;&gt;"")</formula>
    </cfRule>
    <cfRule type="expression" dxfId="1" priority="8">
      <formula>AND($J12="In Progress",K12&lt;&gt;"")</formula>
    </cfRule>
    <cfRule type="expression" dxfId="2" priority="9">
      <formula>AND($J12="Done",K12&lt;&gt;"")</formula>
    </cfRule>
    <cfRule type="expression" dxfId="3" priority="10">
      <formula>AND($J12="Blocked",K12&lt;&gt;"")</formula>
    </cfRule>
    <cfRule type="expression" dxfId="4" priority="11">
      <formula>AND($J12="Deferred",K12&lt;&gt;"")</formula>
    </cfRule>
    <cfRule type="expression" dxfId="5" priority="12">
      <formula>AND($J12="Contingency",K12&lt;&gt;"")</formula>
    </cfRule>
  </conditionalFormatting>
  <conditionalFormatting sqref="K13:DD13">
    <cfRule type="expression" dxfId="0" priority="13">
      <formula>AND($J13="Not Started",K13&lt;&gt;"")</formula>
    </cfRule>
    <cfRule type="expression" dxfId="1" priority="14">
      <formula>AND($J13="In Progress",K13&lt;&gt;"")</formula>
    </cfRule>
    <cfRule type="expression" dxfId="2" priority="15">
      <formula>AND($J13="Done",K13&lt;&gt;"")</formula>
    </cfRule>
    <cfRule type="expression" dxfId="3" priority="16">
      <formula>AND($J13="Blocked",K13&lt;&gt;"")</formula>
    </cfRule>
    <cfRule type="expression" dxfId="4" priority="17">
      <formula>AND($J13="Deferred",K13&lt;&gt;"")</formula>
    </cfRule>
    <cfRule type="expression" dxfId="5" priority="18">
      <formula>AND($J13="Contingency",K13&lt;&gt;"")</formula>
    </cfRule>
  </conditionalFormatting>
  <conditionalFormatting sqref="K14:DD14">
    <cfRule type="expression" dxfId="0" priority="19">
      <formula>AND($J14="Not Started",K14&lt;&gt;"")</formula>
    </cfRule>
    <cfRule type="expression" dxfId="1" priority="20">
      <formula>AND($J14="In Progress",K14&lt;&gt;"")</formula>
    </cfRule>
    <cfRule type="expression" dxfId="2" priority="21">
      <formula>AND($J14="Done",K14&lt;&gt;"")</formula>
    </cfRule>
    <cfRule type="expression" dxfId="3" priority="22">
      <formula>AND($J14="Blocked",K14&lt;&gt;"")</formula>
    </cfRule>
    <cfRule type="expression" dxfId="4" priority="23">
      <formula>AND($J14="Deferred",K14&lt;&gt;"")</formula>
    </cfRule>
    <cfRule type="expression" dxfId="5" priority="24">
      <formula>AND($J14="Contingency",K14&lt;&gt;"")</formula>
    </cfRule>
  </conditionalFormatting>
  <conditionalFormatting sqref="K15:DD15">
    <cfRule type="expression" dxfId="0" priority="25">
      <formula>AND($J15="Not Started",K15&lt;&gt;"")</formula>
    </cfRule>
    <cfRule type="expression" dxfId="1" priority="26">
      <formula>AND($J15="In Progress",K15&lt;&gt;"")</formula>
    </cfRule>
    <cfRule type="expression" dxfId="2" priority="27">
      <formula>AND($J15="Done",K15&lt;&gt;"")</formula>
    </cfRule>
    <cfRule type="expression" dxfId="3" priority="28">
      <formula>AND($J15="Blocked",K15&lt;&gt;"")</formula>
    </cfRule>
    <cfRule type="expression" dxfId="4" priority="29">
      <formula>AND($J15="Deferred",K15&lt;&gt;"")</formula>
    </cfRule>
    <cfRule type="expression" dxfId="5" priority="30">
      <formula>AND($J15="Contingency",K15&lt;&gt;"")</formula>
    </cfRule>
  </conditionalFormatting>
  <conditionalFormatting sqref="K16:DD16">
    <cfRule type="expression" dxfId="0" priority="31">
      <formula>AND($J16="Not Started",K16&lt;&gt;"")</formula>
    </cfRule>
    <cfRule type="expression" dxfId="1" priority="32">
      <formula>AND($J16="In Progress",K16&lt;&gt;"")</formula>
    </cfRule>
    <cfRule type="expression" dxfId="2" priority="33">
      <formula>AND($J16="Done",K16&lt;&gt;"")</formula>
    </cfRule>
    <cfRule type="expression" dxfId="3" priority="34">
      <formula>AND($J16="Blocked",K16&lt;&gt;"")</formula>
    </cfRule>
    <cfRule type="expression" dxfId="4" priority="35">
      <formula>AND($J16="Deferred",K16&lt;&gt;"")</formula>
    </cfRule>
    <cfRule type="expression" dxfId="5" priority="36">
      <formula>AND($J16="Contingency",K16&lt;&gt;"")</formula>
    </cfRule>
  </conditionalFormatting>
  <conditionalFormatting sqref="K17:DD17">
    <cfRule type="expression" dxfId="0" priority="37">
      <formula>AND($J17="Not Started",K17&lt;&gt;"")</formula>
    </cfRule>
    <cfRule type="expression" dxfId="1" priority="38">
      <formula>AND($J17="In Progress",K17&lt;&gt;"")</formula>
    </cfRule>
    <cfRule type="expression" dxfId="2" priority="39">
      <formula>AND($J17="Done",K17&lt;&gt;"")</formula>
    </cfRule>
    <cfRule type="expression" dxfId="3" priority="40">
      <formula>AND($J17="Blocked",K17&lt;&gt;"")</formula>
    </cfRule>
    <cfRule type="expression" dxfId="4" priority="41">
      <formula>AND($J17="Deferred",K17&lt;&gt;"")</formula>
    </cfRule>
    <cfRule type="expression" dxfId="5" priority="42">
      <formula>AND($J17="Contingency",K17&lt;&gt;"")</formula>
    </cfRule>
  </conditionalFormatting>
  <conditionalFormatting sqref="K18:DD18">
    <cfRule type="expression" dxfId="0" priority="43">
      <formula>AND($J18="Not Started",K18&lt;&gt;"")</formula>
    </cfRule>
    <cfRule type="expression" dxfId="1" priority="44">
      <formula>AND($J18="In Progress",K18&lt;&gt;"")</formula>
    </cfRule>
    <cfRule type="expression" dxfId="2" priority="45">
      <formula>AND($J18="Done",K18&lt;&gt;"")</formula>
    </cfRule>
    <cfRule type="expression" dxfId="3" priority="46">
      <formula>AND($J18="Blocked",K18&lt;&gt;"")</formula>
    </cfRule>
    <cfRule type="expression" dxfId="4" priority="47">
      <formula>AND($J18="Deferred",K18&lt;&gt;"")</formula>
    </cfRule>
    <cfRule type="expression" dxfId="5" priority="48">
      <formula>AND($J18="Contingency",K18&lt;&gt;"")</formula>
    </cfRule>
  </conditionalFormatting>
  <conditionalFormatting sqref="K19:DD19">
    <cfRule type="expression" dxfId="0" priority="49">
      <formula>AND($J19="Not Started",K19&lt;&gt;"")</formula>
    </cfRule>
    <cfRule type="expression" dxfId="1" priority="50">
      <formula>AND($J19="In Progress",K19&lt;&gt;"")</formula>
    </cfRule>
    <cfRule type="expression" dxfId="2" priority="51">
      <formula>AND($J19="Done",K19&lt;&gt;"")</formula>
    </cfRule>
    <cfRule type="expression" dxfId="3" priority="52">
      <formula>AND($J19="Blocked",K19&lt;&gt;"")</formula>
    </cfRule>
    <cfRule type="expression" dxfId="4" priority="53">
      <formula>AND($J19="Deferred",K19&lt;&gt;"")</formula>
    </cfRule>
    <cfRule type="expression" dxfId="5" priority="54">
      <formula>AND($J19="Contingency",K19&lt;&gt;"")</formula>
    </cfRule>
  </conditionalFormatting>
  <conditionalFormatting sqref="K20:DD20">
    <cfRule type="expression" dxfId="0" priority="55">
      <formula>AND($J20="Not Started",K20&lt;&gt;"")</formula>
    </cfRule>
    <cfRule type="expression" dxfId="1" priority="56">
      <formula>AND($J20="In Progress",K20&lt;&gt;"")</formula>
    </cfRule>
    <cfRule type="expression" dxfId="2" priority="57">
      <formula>AND($J20="Done",K20&lt;&gt;"")</formula>
    </cfRule>
    <cfRule type="expression" dxfId="3" priority="58">
      <formula>AND($J20="Blocked",K20&lt;&gt;"")</formula>
    </cfRule>
    <cfRule type="expression" dxfId="4" priority="59">
      <formula>AND($J20="Deferred",K20&lt;&gt;"")</formula>
    </cfRule>
    <cfRule type="expression" dxfId="5" priority="60">
      <formula>AND($J20="Contingency",K20&lt;&gt;"")</formula>
    </cfRule>
  </conditionalFormatting>
  <conditionalFormatting sqref="K21:DD21">
    <cfRule type="expression" dxfId="0" priority="61">
      <formula>AND($J21="Not Started",K21&lt;&gt;"")</formula>
    </cfRule>
    <cfRule type="expression" dxfId="1" priority="62">
      <formula>AND($J21="In Progress",K21&lt;&gt;"")</formula>
    </cfRule>
    <cfRule type="expression" dxfId="2" priority="63">
      <formula>AND($J21="Done",K21&lt;&gt;"")</formula>
    </cfRule>
    <cfRule type="expression" dxfId="3" priority="64">
      <formula>AND($J21="Blocked",K21&lt;&gt;"")</formula>
    </cfRule>
    <cfRule type="expression" dxfId="4" priority="65">
      <formula>AND($J21="Deferred",K21&lt;&gt;"")</formula>
    </cfRule>
    <cfRule type="expression" dxfId="5" priority="66">
      <formula>AND($J21="Contingency",K21&lt;&gt;"")</formula>
    </cfRule>
  </conditionalFormatting>
  <conditionalFormatting sqref="K22:DD22">
    <cfRule type="expression" dxfId="0" priority="67">
      <formula>AND($J22="Not Started",K22&lt;&gt;"")</formula>
    </cfRule>
    <cfRule type="expression" dxfId="1" priority="68">
      <formula>AND($J22="In Progress",K22&lt;&gt;"")</formula>
    </cfRule>
    <cfRule type="expression" dxfId="2" priority="69">
      <formula>AND($J22="Done",K22&lt;&gt;"")</formula>
    </cfRule>
    <cfRule type="expression" dxfId="3" priority="70">
      <formula>AND($J22="Blocked",K22&lt;&gt;"")</formula>
    </cfRule>
    <cfRule type="expression" dxfId="4" priority="71">
      <formula>AND($J22="Deferred",K22&lt;&gt;"")</formula>
    </cfRule>
    <cfRule type="expression" dxfId="5" priority="72">
      <formula>AND($J22="Contingency",K22&lt;&gt;"")</formula>
    </cfRule>
  </conditionalFormatting>
  <conditionalFormatting sqref="K23:DD23">
    <cfRule type="expression" dxfId="0" priority="73">
      <formula>AND($J23="Not Started",K23&lt;&gt;"")</formula>
    </cfRule>
    <cfRule type="expression" dxfId="1" priority="74">
      <formula>AND($J23="In Progress",K23&lt;&gt;"")</formula>
    </cfRule>
    <cfRule type="expression" dxfId="2" priority="75">
      <formula>AND($J23="Done",K23&lt;&gt;"")</formula>
    </cfRule>
    <cfRule type="expression" dxfId="3" priority="76">
      <formula>AND($J23="Blocked",K23&lt;&gt;"")</formula>
    </cfRule>
    <cfRule type="expression" dxfId="4" priority="77">
      <formula>AND($J23="Deferred",K23&lt;&gt;"")</formula>
    </cfRule>
    <cfRule type="expression" dxfId="5" priority="78">
      <formula>AND($J23="Contingency",K23&lt;&gt;"")</formula>
    </cfRule>
  </conditionalFormatting>
  <conditionalFormatting sqref="K24:DD24">
    <cfRule type="expression" dxfId="0" priority="79">
      <formula>AND($J24="Not Started",K24&lt;&gt;"")</formula>
    </cfRule>
    <cfRule type="expression" dxfId="1" priority="80">
      <formula>AND($J24="In Progress",K24&lt;&gt;"")</formula>
    </cfRule>
    <cfRule type="expression" dxfId="2" priority="81">
      <formula>AND($J24="Done",K24&lt;&gt;"")</formula>
    </cfRule>
    <cfRule type="expression" dxfId="3" priority="82">
      <formula>AND($J24="Blocked",K24&lt;&gt;"")</formula>
    </cfRule>
    <cfRule type="expression" dxfId="4" priority="83">
      <formula>AND($J24="Deferred",K24&lt;&gt;"")</formula>
    </cfRule>
    <cfRule type="expression" dxfId="5" priority="84">
      <formula>AND($J24="Contingency",K24&lt;&gt;"")</formula>
    </cfRule>
  </conditionalFormatting>
  <conditionalFormatting sqref="K25:DD25">
    <cfRule type="expression" dxfId="0" priority="85">
      <formula>AND($J25="Not Started",K25&lt;&gt;"")</formula>
    </cfRule>
    <cfRule type="expression" dxfId="1" priority="86">
      <formula>AND($J25="In Progress",K25&lt;&gt;"")</formula>
    </cfRule>
    <cfRule type="expression" dxfId="2" priority="87">
      <formula>AND($J25="Done",K25&lt;&gt;"")</formula>
    </cfRule>
    <cfRule type="expression" dxfId="3" priority="88">
      <formula>AND($J25="Blocked",K25&lt;&gt;"")</formula>
    </cfRule>
    <cfRule type="expression" dxfId="4" priority="89">
      <formula>AND($J25="Deferred",K25&lt;&gt;"")</formula>
    </cfRule>
    <cfRule type="expression" dxfId="5" priority="90">
      <formula>AND($J25="Contingency",K25&lt;&gt;"")</formula>
    </cfRule>
  </conditionalFormatting>
  <conditionalFormatting sqref="K26:DD26">
    <cfRule type="expression" dxfId="0" priority="91">
      <formula>AND($J26="Not Started",K26&lt;&gt;"")</formula>
    </cfRule>
    <cfRule type="expression" dxfId="1" priority="92">
      <formula>AND($J26="In Progress",K26&lt;&gt;"")</formula>
    </cfRule>
    <cfRule type="expression" dxfId="2" priority="93">
      <formula>AND($J26="Done",K26&lt;&gt;"")</formula>
    </cfRule>
    <cfRule type="expression" dxfId="3" priority="94">
      <formula>AND($J26="Blocked",K26&lt;&gt;"")</formula>
    </cfRule>
    <cfRule type="expression" dxfId="4" priority="95">
      <formula>AND($J26="Deferred",K26&lt;&gt;"")</formula>
    </cfRule>
    <cfRule type="expression" dxfId="5" priority="96">
      <formula>AND($J26="Contingency",K26&lt;&gt;"")</formula>
    </cfRule>
  </conditionalFormatting>
  <conditionalFormatting sqref="K27:DD27">
    <cfRule type="expression" dxfId="0" priority="97">
      <formula>AND($J27="Not Started",K27&lt;&gt;"")</formula>
    </cfRule>
    <cfRule type="expression" dxfId="1" priority="98">
      <formula>AND($J27="In Progress",K27&lt;&gt;"")</formula>
    </cfRule>
    <cfRule type="expression" dxfId="2" priority="99">
      <formula>AND($J27="Done",K27&lt;&gt;"")</formula>
    </cfRule>
    <cfRule type="expression" dxfId="3" priority="100">
      <formula>AND($J27="Blocked",K27&lt;&gt;"")</formula>
    </cfRule>
    <cfRule type="expression" dxfId="4" priority="101">
      <formula>AND($J27="Deferred",K27&lt;&gt;"")</formula>
    </cfRule>
    <cfRule type="expression" dxfId="5" priority="102">
      <formula>AND($J27="Contingency",K27&lt;&gt;"")</formula>
    </cfRule>
  </conditionalFormatting>
  <conditionalFormatting sqref="K28:DD28">
    <cfRule type="expression" dxfId="0" priority="103">
      <formula>AND($J28="Not Started",K28&lt;&gt;"")</formula>
    </cfRule>
    <cfRule type="expression" dxfId="1" priority="104">
      <formula>AND($J28="In Progress",K28&lt;&gt;"")</formula>
    </cfRule>
    <cfRule type="expression" dxfId="2" priority="105">
      <formula>AND($J28="Done",K28&lt;&gt;"")</formula>
    </cfRule>
    <cfRule type="expression" dxfId="3" priority="106">
      <formula>AND($J28="Blocked",K28&lt;&gt;"")</formula>
    </cfRule>
    <cfRule type="expression" dxfId="4" priority="107">
      <formula>AND($J28="Deferred",K28&lt;&gt;"")</formula>
    </cfRule>
    <cfRule type="expression" dxfId="5" priority="108">
      <formula>AND($J28="Contingency",K28&lt;&gt;"")</formula>
    </cfRule>
  </conditionalFormatting>
  <conditionalFormatting sqref="K29:DD29">
    <cfRule type="expression" dxfId="0" priority="109">
      <formula>AND($J29="Not Started",K29&lt;&gt;"")</formula>
    </cfRule>
    <cfRule type="expression" dxfId="1" priority="110">
      <formula>AND($J29="In Progress",K29&lt;&gt;"")</formula>
    </cfRule>
    <cfRule type="expression" dxfId="2" priority="111">
      <formula>AND($J29="Done",K29&lt;&gt;"")</formula>
    </cfRule>
    <cfRule type="expression" dxfId="3" priority="112">
      <formula>AND($J29="Blocked",K29&lt;&gt;"")</formula>
    </cfRule>
    <cfRule type="expression" dxfId="4" priority="113">
      <formula>AND($J29="Deferred",K29&lt;&gt;"")</formula>
    </cfRule>
    <cfRule type="expression" dxfId="5" priority="114">
      <formula>AND($J29="Contingency",K29&lt;&gt;"")</formula>
    </cfRule>
  </conditionalFormatting>
  <conditionalFormatting sqref="K30:DD30">
    <cfRule type="expression" dxfId="0" priority="115">
      <formula>AND($J30="Not Started",K30&lt;&gt;"")</formula>
    </cfRule>
    <cfRule type="expression" dxfId="1" priority="116">
      <formula>AND($J30="In Progress",K30&lt;&gt;"")</formula>
    </cfRule>
    <cfRule type="expression" dxfId="2" priority="117">
      <formula>AND($J30="Done",K30&lt;&gt;"")</formula>
    </cfRule>
    <cfRule type="expression" dxfId="3" priority="118">
      <formula>AND($J30="Blocked",K30&lt;&gt;"")</formula>
    </cfRule>
    <cfRule type="expression" dxfId="4" priority="119">
      <formula>AND($J30="Deferred",K30&lt;&gt;"")</formula>
    </cfRule>
    <cfRule type="expression" dxfId="5" priority="120">
      <formula>AND($J30="Contingency",K30&lt;&gt;"")</formula>
    </cfRule>
  </conditionalFormatting>
  <conditionalFormatting sqref="K31:DD31">
    <cfRule type="expression" dxfId="0" priority="121">
      <formula>AND($J31="Not Started",K31&lt;&gt;"")</formula>
    </cfRule>
    <cfRule type="expression" dxfId="1" priority="122">
      <formula>AND($J31="In Progress",K31&lt;&gt;"")</formula>
    </cfRule>
    <cfRule type="expression" dxfId="2" priority="123">
      <formula>AND($J31="Done",K31&lt;&gt;"")</formula>
    </cfRule>
    <cfRule type="expression" dxfId="3" priority="124">
      <formula>AND($J31="Blocked",K31&lt;&gt;"")</formula>
    </cfRule>
    <cfRule type="expression" dxfId="4" priority="125">
      <formula>AND($J31="Deferred",K31&lt;&gt;"")</formula>
    </cfRule>
    <cfRule type="expression" dxfId="5" priority="126">
      <formula>AND($J31="Contingency",K31&lt;&gt;"")</formula>
    </cfRule>
  </conditionalFormatting>
  <conditionalFormatting sqref="K32:DD32">
    <cfRule type="expression" dxfId="0" priority="127">
      <formula>AND($J32="Not Started",K32&lt;&gt;"")</formula>
    </cfRule>
    <cfRule type="expression" dxfId="1" priority="128">
      <formula>AND($J32="In Progress",K32&lt;&gt;"")</formula>
    </cfRule>
    <cfRule type="expression" dxfId="2" priority="129">
      <formula>AND($J32="Done",K32&lt;&gt;"")</formula>
    </cfRule>
    <cfRule type="expression" dxfId="3" priority="130">
      <formula>AND($J32="Blocked",K32&lt;&gt;"")</formula>
    </cfRule>
    <cfRule type="expression" dxfId="4" priority="131">
      <formula>AND($J32="Deferred",K32&lt;&gt;"")</formula>
    </cfRule>
    <cfRule type="expression" dxfId="5" priority="132">
      <formula>AND($J32="Contingency",K32&lt;&gt;"")</formula>
    </cfRule>
  </conditionalFormatting>
  <conditionalFormatting sqref="K33:DD33">
    <cfRule type="expression" dxfId="0" priority="133">
      <formula>AND($J33="Not Started",K33&lt;&gt;"")</formula>
    </cfRule>
    <cfRule type="expression" dxfId="1" priority="134">
      <formula>AND($J33="In Progress",K33&lt;&gt;"")</formula>
    </cfRule>
    <cfRule type="expression" dxfId="2" priority="135">
      <formula>AND($J33="Done",K33&lt;&gt;"")</formula>
    </cfRule>
    <cfRule type="expression" dxfId="3" priority="136">
      <formula>AND($J33="Blocked",K33&lt;&gt;"")</formula>
    </cfRule>
    <cfRule type="expression" dxfId="4" priority="137">
      <formula>AND($J33="Deferred",K33&lt;&gt;"")</formula>
    </cfRule>
    <cfRule type="expression" dxfId="5" priority="138">
      <formula>AND($J33="Contingency",K33&lt;&gt;"")</formula>
    </cfRule>
  </conditionalFormatting>
  <conditionalFormatting sqref="K34:DD34">
    <cfRule type="expression" dxfId="0" priority="139">
      <formula>AND($J34="Not Started",K34&lt;&gt;"")</formula>
    </cfRule>
    <cfRule type="expression" dxfId="1" priority="140">
      <formula>AND($J34="In Progress",K34&lt;&gt;"")</formula>
    </cfRule>
    <cfRule type="expression" dxfId="2" priority="141">
      <formula>AND($J34="Done",K34&lt;&gt;"")</formula>
    </cfRule>
    <cfRule type="expression" dxfId="3" priority="142">
      <formula>AND($J34="Blocked",K34&lt;&gt;"")</formula>
    </cfRule>
    <cfRule type="expression" dxfId="4" priority="143">
      <formula>AND($J34="Deferred",K34&lt;&gt;"")</formula>
    </cfRule>
    <cfRule type="expression" dxfId="5" priority="144">
      <formula>AND($J34="Contingency",K34&lt;&gt;"")</formula>
    </cfRule>
  </conditionalFormatting>
  <conditionalFormatting sqref="K35:DD35">
    <cfRule type="expression" dxfId="0" priority="145">
      <formula>AND($J35="Not Started",K35&lt;&gt;"")</formula>
    </cfRule>
    <cfRule type="expression" dxfId="1" priority="146">
      <formula>AND($J35="In Progress",K35&lt;&gt;"")</formula>
    </cfRule>
    <cfRule type="expression" dxfId="2" priority="147">
      <formula>AND($J35="Done",K35&lt;&gt;"")</formula>
    </cfRule>
    <cfRule type="expression" dxfId="3" priority="148">
      <formula>AND($J35="Blocked",K35&lt;&gt;"")</formula>
    </cfRule>
    <cfRule type="expression" dxfId="4" priority="149">
      <formula>AND($J35="Deferred",K35&lt;&gt;"")</formula>
    </cfRule>
    <cfRule type="expression" dxfId="5" priority="150">
      <formula>AND($J35="Contingency",K35&lt;&gt;"")</formula>
    </cfRule>
  </conditionalFormatting>
  <conditionalFormatting sqref="K36:DD36">
    <cfRule type="expression" dxfId="0" priority="151">
      <formula>AND($J36="Not Started",K36&lt;&gt;"")</formula>
    </cfRule>
    <cfRule type="expression" dxfId="1" priority="152">
      <formula>AND($J36="In Progress",K36&lt;&gt;"")</formula>
    </cfRule>
    <cfRule type="expression" dxfId="2" priority="153">
      <formula>AND($J36="Done",K36&lt;&gt;"")</formula>
    </cfRule>
    <cfRule type="expression" dxfId="3" priority="154">
      <formula>AND($J36="Blocked",K36&lt;&gt;"")</formula>
    </cfRule>
    <cfRule type="expression" dxfId="4" priority="155">
      <formula>AND($J36="Deferred",K36&lt;&gt;"")</formula>
    </cfRule>
    <cfRule type="expression" dxfId="5" priority="156">
      <formula>AND($J36="Contingency",K36&lt;&gt;"")</formula>
    </cfRule>
  </conditionalFormatting>
  <conditionalFormatting sqref="K37:DD37">
    <cfRule type="expression" dxfId="0" priority="157">
      <formula>AND($J37="Not Started",K37&lt;&gt;"")</formula>
    </cfRule>
    <cfRule type="expression" dxfId="1" priority="158">
      <formula>AND($J37="In Progress",K37&lt;&gt;"")</formula>
    </cfRule>
    <cfRule type="expression" dxfId="2" priority="159">
      <formula>AND($J37="Done",K37&lt;&gt;"")</formula>
    </cfRule>
    <cfRule type="expression" dxfId="3" priority="160">
      <formula>AND($J37="Blocked",K37&lt;&gt;"")</formula>
    </cfRule>
    <cfRule type="expression" dxfId="4" priority="161">
      <formula>AND($J37="Deferred",K37&lt;&gt;"")</formula>
    </cfRule>
    <cfRule type="expression" dxfId="5" priority="162">
      <formula>AND($J37="Contingency",K37&lt;&gt;"")</formula>
    </cfRule>
  </conditionalFormatting>
  <conditionalFormatting sqref="K38:DD38">
    <cfRule type="expression" dxfId="0" priority="163">
      <formula>AND($J38="Not Started",K38&lt;&gt;"")</formula>
    </cfRule>
    <cfRule type="expression" dxfId="1" priority="164">
      <formula>AND($J38="In Progress",K38&lt;&gt;"")</formula>
    </cfRule>
    <cfRule type="expression" dxfId="2" priority="165">
      <formula>AND($J38="Done",K38&lt;&gt;"")</formula>
    </cfRule>
    <cfRule type="expression" dxfId="3" priority="166">
      <formula>AND($J38="Blocked",K38&lt;&gt;"")</formula>
    </cfRule>
    <cfRule type="expression" dxfId="4" priority="167">
      <formula>AND($J38="Deferred",K38&lt;&gt;"")</formula>
    </cfRule>
    <cfRule type="expression" dxfId="5" priority="168">
      <formula>AND($J38="Contingency",K38&lt;&gt;"")</formula>
    </cfRule>
  </conditionalFormatting>
  <conditionalFormatting sqref="K39:DD39">
    <cfRule type="expression" dxfId="0" priority="169">
      <formula>AND($J39="Not Started",K39&lt;&gt;"")</formula>
    </cfRule>
    <cfRule type="expression" dxfId="1" priority="170">
      <formula>AND($J39="In Progress",K39&lt;&gt;"")</formula>
    </cfRule>
    <cfRule type="expression" dxfId="2" priority="171">
      <formula>AND($J39="Done",K39&lt;&gt;"")</formula>
    </cfRule>
    <cfRule type="expression" dxfId="3" priority="172">
      <formula>AND($J39="Blocked",K39&lt;&gt;"")</formula>
    </cfRule>
    <cfRule type="expression" dxfId="4" priority="173">
      <formula>AND($J39="Deferred",K39&lt;&gt;"")</formula>
    </cfRule>
    <cfRule type="expression" dxfId="5" priority="174">
      <formula>AND($J39="Contingency",K39&lt;&gt;"")</formula>
    </cfRule>
  </conditionalFormatting>
  <conditionalFormatting sqref="K40:DD40">
    <cfRule type="expression" dxfId="0" priority="175">
      <formula>AND($J40="Not Started",K40&lt;&gt;"")</formula>
    </cfRule>
    <cfRule type="expression" dxfId="1" priority="176">
      <formula>AND($J40="In Progress",K40&lt;&gt;"")</formula>
    </cfRule>
    <cfRule type="expression" dxfId="2" priority="177">
      <formula>AND($J40="Done",K40&lt;&gt;"")</formula>
    </cfRule>
    <cfRule type="expression" dxfId="3" priority="178">
      <formula>AND($J40="Blocked",K40&lt;&gt;"")</formula>
    </cfRule>
    <cfRule type="expression" dxfId="4" priority="179">
      <formula>AND($J40="Deferred",K40&lt;&gt;"")</formula>
    </cfRule>
    <cfRule type="expression" dxfId="5" priority="180">
      <formula>AND($J40="Contingency",K40&lt;&gt;"")</formula>
    </cfRule>
  </conditionalFormatting>
  <conditionalFormatting sqref="K41:DD41">
    <cfRule type="expression" dxfId="0" priority="181">
      <formula>AND($J41="Not Started",K41&lt;&gt;"")</formula>
    </cfRule>
    <cfRule type="expression" dxfId="1" priority="182">
      <formula>AND($J41="In Progress",K41&lt;&gt;"")</formula>
    </cfRule>
    <cfRule type="expression" dxfId="2" priority="183">
      <formula>AND($J41="Done",K41&lt;&gt;"")</formula>
    </cfRule>
    <cfRule type="expression" dxfId="3" priority="184">
      <formula>AND($J41="Blocked",K41&lt;&gt;"")</formula>
    </cfRule>
    <cfRule type="expression" dxfId="4" priority="185">
      <formula>AND($J41="Deferred",K41&lt;&gt;"")</formula>
    </cfRule>
    <cfRule type="expression" dxfId="5" priority="186">
      <formula>AND($J41="Contingency",K41&lt;&gt;"")</formula>
    </cfRule>
  </conditionalFormatting>
  <conditionalFormatting sqref="K42:DD42">
    <cfRule type="expression" dxfId="0" priority="187">
      <formula>AND($J42="Not Started",K42&lt;&gt;"")</formula>
    </cfRule>
    <cfRule type="expression" dxfId="1" priority="188">
      <formula>AND($J42="In Progress",K42&lt;&gt;"")</formula>
    </cfRule>
    <cfRule type="expression" dxfId="2" priority="189">
      <formula>AND($J42="Done",K42&lt;&gt;"")</formula>
    </cfRule>
    <cfRule type="expression" dxfId="3" priority="190">
      <formula>AND($J42="Blocked",K42&lt;&gt;"")</formula>
    </cfRule>
    <cfRule type="expression" dxfId="4" priority="191">
      <formula>AND($J42="Deferred",K42&lt;&gt;"")</formula>
    </cfRule>
    <cfRule type="expression" dxfId="5" priority="192">
      <formula>AND($J42="Contingency",K42&lt;&gt;"")</formula>
    </cfRule>
  </conditionalFormatting>
  <conditionalFormatting sqref="K43:DD43">
    <cfRule type="expression" dxfId="0" priority="193">
      <formula>AND($J43="Not Started",K43&lt;&gt;"")</formula>
    </cfRule>
    <cfRule type="expression" dxfId="1" priority="194">
      <formula>AND($J43="In Progress",K43&lt;&gt;"")</formula>
    </cfRule>
    <cfRule type="expression" dxfId="2" priority="195">
      <formula>AND($J43="Done",K43&lt;&gt;"")</formula>
    </cfRule>
    <cfRule type="expression" dxfId="3" priority="196">
      <formula>AND($J43="Blocked",K43&lt;&gt;"")</formula>
    </cfRule>
    <cfRule type="expression" dxfId="4" priority="197">
      <formula>AND($J43="Deferred",K43&lt;&gt;"")</formula>
    </cfRule>
    <cfRule type="expression" dxfId="5" priority="198">
      <formula>AND($J43="Contingency",K43&lt;&gt;"")</formula>
    </cfRule>
  </conditionalFormatting>
  <conditionalFormatting sqref="K44:DD44">
    <cfRule type="expression" dxfId="0" priority="199">
      <formula>AND($J44="Not Started",K44&lt;&gt;"")</formula>
    </cfRule>
    <cfRule type="expression" dxfId="1" priority="200">
      <formula>AND($J44="In Progress",K44&lt;&gt;"")</formula>
    </cfRule>
    <cfRule type="expression" dxfId="2" priority="201">
      <formula>AND($J44="Done",K44&lt;&gt;"")</formula>
    </cfRule>
    <cfRule type="expression" dxfId="3" priority="202">
      <formula>AND($J44="Blocked",K44&lt;&gt;"")</formula>
    </cfRule>
    <cfRule type="expression" dxfId="4" priority="203">
      <formula>AND($J44="Deferred",K44&lt;&gt;"")</formula>
    </cfRule>
    <cfRule type="expression" dxfId="5" priority="204">
      <formula>AND($J44="Contingency",K44&lt;&gt;"")</formula>
    </cfRule>
  </conditionalFormatting>
  <conditionalFormatting sqref="K45:DD45">
    <cfRule type="expression" dxfId="0" priority="205">
      <formula>AND($J45="Not Started",K45&lt;&gt;"")</formula>
    </cfRule>
    <cfRule type="expression" dxfId="1" priority="206">
      <formula>AND($J45="In Progress",K45&lt;&gt;"")</formula>
    </cfRule>
    <cfRule type="expression" dxfId="2" priority="207">
      <formula>AND($J45="Done",K45&lt;&gt;"")</formula>
    </cfRule>
    <cfRule type="expression" dxfId="3" priority="208">
      <formula>AND($J45="Blocked",K45&lt;&gt;"")</formula>
    </cfRule>
    <cfRule type="expression" dxfId="4" priority="209">
      <formula>AND($J45="Deferred",K45&lt;&gt;"")</formula>
    </cfRule>
    <cfRule type="expression" dxfId="5" priority="210">
      <formula>AND($J45="Contingency",K45&lt;&gt;"")</formula>
    </cfRule>
  </conditionalFormatting>
  <conditionalFormatting sqref="K46:DD46">
    <cfRule type="expression" dxfId="0" priority="211">
      <formula>AND($J46="Not Started",K46&lt;&gt;"")</formula>
    </cfRule>
    <cfRule type="expression" dxfId="1" priority="212">
      <formula>AND($J46="In Progress",K46&lt;&gt;"")</formula>
    </cfRule>
    <cfRule type="expression" dxfId="2" priority="213">
      <formula>AND($J46="Done",K46&lt;&gt;"")</formula>
    </cfRule>
    <cfRule type="expression" dxfId="3" priority="214">
      <formula>AND($J46="Blocked",K46&lt;&gt;"")</formula>
    </cfRule>
    <cfRule type="expression" dxfId="4" priority="215">
      <formula>AND($J46="Deferred",K46&lt;&gt;"")</formula>
    </cfRule>
    <cfRule type="expression" dxfId="5" priority="216">
      <formula>AND($J46="Contingency",K46&lt;&gt;"")</formula>
    </cfRule>
  </conditionalFormatting>
  <conditionalFormatting sqref="K47:DD47">
    <cfRule type="expression" dxfId="0" priority="217">
      <formula>AND($J47="Not Started",K47&lt;&gt;"")</formula>
    </cfRule>
    <cfRule type="expression" dxfId="1" priority="218">
      <formula>AND($J47="In Progress",K47&lt;&gt;"")</formula>
    </cfRule>
    <cfRule type="expression" dxfId="2" priority="219">
      <formula>AND($J47="Done",K47&lt;&gt;"")</formula>
    </cfRule>
    <cfRule type="expression" dxfId="3" priority="220">
      <formula>AND($J47="Blocked",K47&lt;&gt;"")</formula>
    </cfRule>
    <cfRule type="expression" dxfId="4" priority="221">
      <formula>AND($J47="Deferred",K47&lt;&gt;"")</formula>
    </cfRule>
    <cfRule type="expression" dxfId="5" priority="222">
      <formula>AND($J47="Contingency",K47&lt;&gt;"")</formula>
    </cfRule>
  </conditionalFormatting>
  <conditionalFormatting sqref="K48:DD48">
    <cfRule type="expression" dxfId="0" priority="223">
      <formula>AND($J48="Not Started",K48&lt;&gt;"")</formula>
    </cfRule>
    <cfRule type="expression" dxfId="1" priority="224">
      <formula>AND($J48="In Progress",K48&lt;&gt;"")</formula>
    </cfRule>
    <cfRule type="expression" dxfId="2" priority="225">
      <formula>AND($J48="Done",K48&lt;&gt;"")</formula>
    </cfRule>
    <cfRule type="expression" dxfId="3" priority="226">
      <formula>AND($J48="Blocked",K48&lt;&gt;"")</formula>
    </cfRule>
    <cfRule type="expression" dxfId="4" priority="227">
      <formula>AND($J48="Deferred",K48&lt;&gt;"")</formula>
    </cfRule>
    <cfRule type="expression" dxfId="5" priority="228">
      <formula>AND($J48="Contingency",K48&lt;&gt;"")</formula>
    </cfRule>
  </conditionalFormatting>
  <conditionalFormatting sqref="K49:DD49">
    <cfRule type="expression" dxfId="0" priority="229">
      <formula>AND($J49="Not Started",K49&lt;&gt;"")</formula>
    </cfRule>
    <cfRule type="expression" dxfId="1" priority="230">
      <formula>AND($J49="In Progress",K49&lt;&gt;"")</formula>
    </cfRule>
    <cfRule type="expression" dxfId="2" priority="231">
      <formula>AND($J49="Done",K49&lt;&gt;"")</formula>
    </cfRule>
    <cfRule type="expression" dxfId="3" priority="232">
      <formula>AND($J49="Blocked",K49&lt;&gt;"")</formula>
    </cfRule>
    <cfRule type="expression" dxfId="4" priority="233">
      <formula>AND($J49="Deferred",K49&lt;&gt;"")</formula>
    </cfRule>
    <cfRule type="expression" dxfId="5" priority="234">
      <formula>AND($J49="Contingency",K49&lt;&gt;"")</formula>
    </cfRule>
  </conditionalFormatting>
  <conditionalFormatting sqref="K50:DD50">
    <cfRule type="expression" dxfId="0" priority="235">
      <formula>AND($J50="Not Started",K50&lt;&gt;"")</formula>
    </cfRule>
    <cfRule type="expression" dxfId="1" priority="236">
      <formula>AND($J50="In Progress",K50&lt;&gt;"")</formula>
    </cfRule>
    <cfRule type="expression" dxfId="2" priority="237">
      <formula>AND($J50="Done",K50&lt;&gt;"")</formula>
    </cfRule>
    <cfRule type="expression" dxfId="3" priority="238">
      <formula>AND($J50="Blocked",K50&lt;&gt;"")</formula>
    </cfRule>
    <cfRule type="expression" dxfId="4" priority="239">
      <formula>AND($J50="Deferred",K50&lt;&gt;"")</formula>
    </cfRule>
    <cfRule type="expression" dxfId="5" priority="240">
      <formula>AND($J50="Contingency",K50&lt;&gt;"")</formula>
    </cfRule>
  </conditionalFormatting>
  <conditionalFormatting sqref="K51:DD51">
    <cfRule type="expression" dxfId="0" priority="241">
      <formula>AND($J51="Not Started",K51&lt;&gt;"")</formula>
    </cfRule>
    <cfRule type="expression" dxfId="1" priority="242">
      <formula>AND($J51="In Progress",K51&lt;&gt;"")</formula>
    </cfRule>
    <cfRule type="expression" dxfId="2" priority="243">
      <formula>AND($J51="Done",K51&lt;&gt;"")</formula>
    </cfRule>
    <cfRule type="expression" dxfId="3" priority="244">
      <formula>AND($J51="Blocked",K51&lt;&gt;"")</formula>
    </cfRule>
    <cfRule type="expression" dxfId="4" priority="245">
      <formula>AND($J51="Deferred",K51&lt;&gt;"")</formula>
    </cfRule>
    <cfRule type="expression" dxfId="5" priority="246">
      <formula>AND($J51="Contingency",K51&lt;&gt;"")</formula>
    </cfRule>
  </conditionalFormatting>
  <conditionalFormatting sqref="K52:DD52">
    <cfRule type="expression" dxfId="0" priority="247">
      <formula>AND($J52="Not Started",K52&lt;&gt;"")</formula>
    </cfRule>
    <cfRule type="expression" dxfId="1" priority="248">
      <formula>AND($J52="In Progress",K52&lt;&gt;"")</formula>
    </cfRule>
    <cfRule type="expression" dxfId="2" priority="249">
      <formula>AND($J52="Done",K52&lt;&gt;"")</formula>
    </cfRule>
    <cfRule type="expression" dxfId="3" priority="250">
      <formula>AND($J52="Blocked",K52&lt;&gt;"")</formula>
    </cfRule>
    <cfRule type="expression" dxfId="4" priority="251">
      <formula>AND($J52="Deferred",K52&lt;&gt;"")</formula>
    </cfRule>
    <cfRule type="expression" dxfId="5" priority="252">
      <formula>AND($J52="Contingency",K52&lt;&gt;"")</formula>
    </cfRule>
  </conditionalFormatting>
  <conditionalFormatting sqref="K53:DD53">
    <cfRule type="expression" dxfId="0" priority="253">
      <formula>AND($J53="Not Started",K53&lt;&gt;"")</formula>
    </cfRule>
    <cfRule type="expression" dxfId="1" priority="254">
      <formula>AND($J53="In Progress",K53&lt;&gt;"")</formula>
    </cfRule>
    <cfRule type="expression" dxfId="2" priority="255">
      <formula>AND($J53="Done",K53&lt;&gt;"")</formula>
    </cfRule>
    <cfRule type="expression" dxfId="3" priority="256">
      <formula>AND($J53="Blocked",K53&lt;&gt;"")</formula>
    </cfRule>
    <cfRule type="expression" dxfId="4" priority="257">
      <formula>AND($J53="Deferred",K53&lt;&gt;"")</formula>
    </cfRule>
    <cfRule type="expression" dxfId="5" priority="258">
      <formula>AND($J53="Contingency",K53&lt;&gt;"")</formula>
    </cfRule>
  </conditionalFormatting>
  <conditionalFormatting sqref="K54:DD54">
    <cfRule type="expression" dxfId="0" priority="259">
      <formula>AND($J54="Not Started",K54&lt;&gt;"")</formula>
    </cfRule>
    <cfRule type="expression" dxfId="1" priority="260">
      <formula>AND($J54="In Progress",K54&lt;&gt;"")</formula>
    </cfRule>
    <cfRule type="expression" dxfId="2" priority="261">
      <formula>AND($J54="Done",K54&lt;&gt;"")</formula>
    </cfRule>
    <cfRule type="expression" dxfId="3" priority="262">
      <formula>AND($J54="Blocked",K54&lt;&gt;"")</formula>
    </cfRule>
    <cfRule type="expression" dxfId="4" priority="263">
      <formula>AND($J54="Deferred",K54&lt;&gt;"")</formula>
    </cfRule>
    <cfRule type="expression" dxfId="5" priority="264">
      <formula>AND($J54="Contingency",K54&lt;&gt;"")</formula>
    </cfRule>
  </conditionalFormatting>
  <conditionalFormatting sqref="K55:DD55">
    <cfRule type="expression" dxfId="0" priority="265">
      <formula>AND($J55="Not Started",K55&lt;&gt;"")</formula>
    </cfRule>
    <cfRule type="expression" dxfId="1" priority="266">
      <formula>AND($J55="In Progress",K55&lt;&gt;"")</formula>
    </cfRule>
    <cfRule type="expression" dxfId="2" priority="267">
      <formula>AND($J55="Done",K55&lt;&gt;"")</formula>
    </cfRule>
    <cfRule type="expression" dxfId="3" priority="268">
      <formula>AND($J55="Blocked",K55&lt;&gt;"")</formula>
    </cfRule>
    <cfRule type="expression" dxfId="4" priority="269">
      <formula>AND($J55="Deferred",K55&lt;&gt;"")</formula>
    </cfRule>
    <cfRule type="expression" dxfId="5" priority="270">
      <formula>AND($J55="Contingency",K55&lt;&gt;"")</formula>
    </cfRule>
  </conditionalFormatting>
  <conditionalFormatting sqref="K56:DD56">
    <cfRule type="expression" dxfId="0" priority="271">
      <formula>AND($J56="Not Started",K56&lt;&gt;"")</formula>
    </cfRule>
    <cfRule type="expression" dxfId="1" priority="272">
      <formula>AND($J56="In Progress",K56&lt;&gt;"")</formula>
    </cfRule>
    <cfRule type="expression" dxfId="2" priority="273">
      <formula>AND($J56="Done",K56&lt;&gt;"")</formula>
    </cfRule>
    <cfRule type="expression" dxfId="3" priority="274">
      <formula>AND($J56="Blocked",K56&lt;&gt;"")</formula>
    </cfRule>
    <cfRule type="expression" dxfId="4" priority="275">
      <formula>AND($J56="Deferred",K56&lt;&gt;"")</formula>
    </cfRule>
    <cfRule type="expression" dxfId="5" priority="276">
      <formula>AND($J56="Contingency",K56&lt;&gt;"")</formula>
    </cfRule>
  </conditionalFormatting>
  <conditionalFormatting sqref="K57:DD57">
    <cfRule type="expression" dxfId="0" priority="277">
      <formula>AND($J57="Not Started",K57&lt;&gt;"")</formula>
    </cfRule>
    <cfRule type="expression" dxfId="1" priority="278">
      <formula>AND($J57="In Progress",K57&lt;&gt;"")</formula>
    </cfRule>
    <cfRule type="expression" dxfId="2" priority="279">
      <formula>AND($J57="Done",K57&lt;&gt;"")</formula>
    </cfRule>
    <cfRule type="expression" dxfId="3" priority="280">
      <formula>AND($J57="Blocked",K57&lt;&gt;"")</formula>
    </cfRule>
    <cfRule type="expression" dxfId="4" priority="281">
      <formula>AND($J57="Deferred",K57&lt;&gt;"")</formula>
    </cfRule>
    <cfRule type="expression" dxfId="5" priority="282">
      <formula>AND($J57="Contingency",K57&lt;&gt;"")</formula>
    </cfRule>
  </conditionalFormatting>
  <conditionalFormatting sqref="K58:DD58">
    <cfRule type="expression" dxfId="0" priority="283">
      <formula>AND($J58="Not Started",K58&lt;&gt;"")</formula>
    </cfRule>
    <cfRule type="expression" dxfId="1" priority="284">
      <formula>AND($J58="In Progress",K58&lt;&gt;"")</formula>
    </cfRule>
    <cfRule type="expression" dxfId="2" priority="285">
      <formula>AND($J58="Done",K58&lt;&gt;"")</formula>
    </cfRule>
    <cfRule type="expression" dxfId="3" priority="286">
      <formula>AND($J58="Blocked",K58&lt;&gt;"")</formula>
    </cfRule>
    <cfRule type="expression" dxfId="4" priority="287">
      <formula>AND($J58="Deferred",K58&lt;&gt;"")</formula>
    </cfRule>
    <cfRule type="expression" dxfId="5" priority="288">
      <formula>AND($J58="Contingency",K58&lt;&gt;"")</formula>
    </cfRule>
  </conditionalFormatting>
  <conditionalFormatting sqref="K59:DD59">
    <cfRule type="expression" dxfId="0" priority="289">
      <formula>AND($J59="Not Started",K59&lt;&gt;"")</formula>
    </cfRule>
    <cfRule type="expression" dxfId="1" priority="290">
      <formula>AND($J59="In Progress",K59&lt;&gt;"")</formula>
    </cfRule>
    <cfRule type="expression" dxfId="2" priority="291">
      <formula>AND($J59="Done",K59&lt;&gt;"")</formula>
    </cfRule>
    <cfRule type="expression" dxfId="3" priority="292">
      <formula>AND($J59="Blocked",K59&lt;&gt;"")</formula>
    </cfRule>
    <cfRule type="expression" dxfId="4" priority="293">
      <formula>AND($J59="Deferred",K59&lt;&gt;"")</formula>
    </cfRule>
    <cfRule type="expression" dxfId="5" priority="294">
      <formula>AND($J59="Contingency",K59&lt;&gt;"")</formula>
    </cfRule>
  </conditionalFormatting>
  <conditionalFormatting sqref="K60:DD60">
    <cfRule type="expression" dxfId="0" priority="295">
      <formula>AND($J60="Not Started",K60&lt;&gt;"")</formula>
    </cfRule>
    <cfRule type="expression" dxfId="1" priority="296">
      <formula>AND($J60="In Progress",K60&lt;&gt;"")</formula>
    </cfRule>
    <cfRule type="expression" dxfId="2" priority="297">
      <formula>AND($J60="Done",K60&lt;&gt;"")</formula>
    </cfRule>
    <cfRule type="expression" dxfId="3" priority="298">
      <formula>AND($J60="Blocked",K60&lt;&gt;"")</formula>
    </cfRule>
    <cfRule type="expression" dxfId="4" priority="299">
      <formula>AND($J60="Deferred",K60&lt;&gt;"")</formula>
    </cfRule>
    <cfRule type="expression" dxfId="5" priority="300">
      <formula>AND($J60="Contingency",K60&lt;&gt;"")</formula>
    </cfRule>
  </conditionalFormatting>
  <conditionalFormatting sqref="K61:DD61">
    <cfRule type="expression" dxfId="0" priority="301">
      <formula>AND($J61="Not Started",K61&lt;&gt;"")</formula>
    </cfRule>
    <cfRule type="expression" dxfId="1" priority="302">
      <formula>AND($J61="In Progress",K61&lt;&gt;"")</formula>
    </cfRule>
    <cfRule type="expression" dxfId="2" priority="303">
      <formula>AND($J61="Done",K61&lt;&gt;"")</formula>
    </cfRule>
    <cfRule type="expression" dxfId="3" priority="304">
      <formula>AND($J61="Blocked",K61&lt;&gt;"")</formula>
    </cfRule>
    <cfRule type="expression" dxfId="4" priority="305">
      <formula>AND($J61="Deferred",K61&lt;&gt;"")</formula>
    </cfRule>
    <cfRule type="expression" dxfId="5" priority="306">
      <formula>AND($J61="Contingency",K61&lt;&gt;"")</formula>
    </cfRule>
  </conditionalFormatting>
  <conditionalFormatting sqref="K62:DD62">
    <cfRule type="expression" dxfId="0" priority="307">
      <formula>AND($J62="Not Started",K62&lt;&gt;"")</formula>
    </cfRule>
    <cfRule type="expression" dxfId="1" priority="308">
      <formula>AND($J62="In Progress",K62&lt;&gt;"")</formula>
    </cfRule>
    <cfRule type="expression" dxfId="2" priority="309">
      <formula>AND($J62="Done",K62&lt;&gt;"")</formula>
    </cfRule>
    <cfRule type="expression" dxfId="3" priority="310">
      <formula>AND($J62="Blocked",K62&lt;&gt;"")</formula>
    </cfRule>
    <cfRule type="expression" dxfId="4" priority="311">
      <formula>AND($J62="Deferred",K62&lt;&gt;"")</formula>
    </cfRule>
    <cfRule type="expression" dxfId="5" priority="312">
      <formula>AND($J62="Contingency",K62&lt;&gt;"")</formula>
    </cfRule>
  </conditionalFormatting>
  <conditionalFormatting sqref="K63:DD63">
    <cfRule type="expression" dxfId="0" priority="313">
      <formula>AND($J63="Not Started",K63&lt;&gt;"")</formula>
    </cfRule>
    <cfRule type="expression" dxfId="1" priority="314">
      <formula>AND($J63="In Progress",K63&lt;&gt;"")</formula>
    </cfRule>
    <cfRule type="expression" dxfId="2" priority="315">
      <formula>AND($J63="Done",K63&lt;&gt;"")</formula>
    </cfRule>
    <cfRule type="expression" dxfId="3" priority="316">
      <formula>AND($J63="Blocked",K63&lt;&gt;"")</formula>
    </cfRule>
    <cfRule type="expression" dxfId="4" priority="317">
      <formula>AND($J63="Deferred",K63&lt;&gt;"")</formula>
    </cfRule>
    <cfRule type="expression" dxfId="5" priority="318">
      <formula>AND($J63="Contingency",K63&lt;&gt;"")</formula>
    </cfRule>
  </conditionalFormatting>
  <conditionalFormatting sqref="K64:DD64">
    <cfRule type="expression" dxfId="0" priority="319">
      <formula>AND($J64="Not Started",K64&lt;&gt;"")</formula>
    </cfRule>
    <cfRule type="expression" dxfId="1" priority="320">
      <formula>AND($J64="In Progress",K64&lt;&gt;"")</formula>
    </cfRule>
    <cfRule type="expression" dxfId="2" priority="321">
      <formula>AND($J64="Done",K64&lt;&gt;"")</formula>
    </cfRule>
    <cfRule type="expression" dxfId="3" priority="322">
      <formula>AND($J64="Blocked",K64&lt;&gt;"")</formula>
    </cfRule>
    <cfRule type="expression" dxfId="4" priority="323">
      <formula>AND($J64="Deferred",K64&lt;&gt;"")</formula>
    </cfRule>
    <cfRule type="expression" dxfId="5" priority="324">
      <formula>AND($J64="Contingency",K64&lt;&gt;"")</formula>
    </cfRule>
  </conditionalFormatting>
  <conditionalFormatting sqref="K65:DD65">
    <cfRule type="expression" dxfId="0" priority="325">
      <formula>AND($J65="Not Started",K65&lt;&gt;"")</formula>
    </cfRule>
    <cfRule type="expression" dxfId="1" priority="326">
      <formula>AND($J65="In Progress",K65&lt;&gt;"")</formula>
    </cfRule>
    <cfRule type="expression" dxfId="2" priority="327">
      <formula>AND($J65="Done",K65&lt;&gt;"")</formula>
    </cfRule>
    <cfRule type="expression" dxfId="3" priority="328">
      <formula>AND($J65="Blocked",K65&lt;&gt;"")</formula>
    </cfRule>
    <cfRule type="expression" dxfId="4" priority="329">
      <formula>AND($J65="Deferred",K65&lt;&gt;"")</formula>
    </cfRule>
    <cfRule type="expression" dxfId="5" priority="330">
      <formula>AND($J65="Contingency",K65&lt;&gt;"")</formula>
    </cfRule>
  </conditionalFormatting>
  <conditionalFormatting sqref="K66:DD66">
    <cfRule type="expression" dxfId="0" priority="331">
      <formula>AND($J66="Not Started",K66&lt;&gt;"")</formula>
    </cfRule>
    <cfRule type="expression" dxfId="1" priority="332">
      <formula>AND($J66="In Progress",K66&lt;&gt;"")</formula>
    </cfRule>
    <cfRule type="expression" dxfId="2" priority="333">
      <formula>AND($J66="Done",K66&lt;&gt;"")</formula>
    </cfRule>
    <cfRule type="expression" dxfId="3" priority="334">
      <formula>AND($J66="Blocked",K66&lt;&gt;"")</formula>
    </cfRule>
    <cfRule type="expression" dxfId="4" priority="335">
      <formula>AND($J66="Deferred",K66&lt;&gt;"")</formula>
    </cfRule>
    <cfRule type="expression" dxfId="5" priority="336">
      <formula>AND($J66="Contingency",K66&lt;&gt;"")</formula>
    </cfRule>
  </conditionalFormatting>
  <conditionalFormatting sqref="K67:DD67">
    <cfRule type="expression" dxfId="0" priority="337">
      <formula>AND($J67="Not Started",K67&lt;&gt;"")</formula>
    </cfRule>
    <cfRule type="expression" dxfId="1" priority="338">
      <formula>AND($J67="In Progress",K67&lt;&gt;"")</formula>
    </cfRule>
    <cfRule type="expression" dxfId="2" priority="339">
      <formula>AND($J67="Done",K67&lt;&gt;"")</formula>
    </cfRule>
    <cfRule type="expression" dxfId="3" priority="340">
      <formula>AND($J67="Blocked",K67&lt;&gt;"")</formula>
    </cfRule>
    <cfRule type="expression" dxfId="4" priority="341">
      <formula>AND($J67="Deferred",K67&lt;&gt;"")</formula>
    </cfRule>
    <cfRule type="expression" dxfId="5" priority="342">
      <formula>AND($J67="Contingency",K67&lt;&gt;"")</formula>
    </cfRule>
  </conditionalFormatting>
  <conditionalFormatting sqref="K68:DD68">
    <cfRule type="expression" dxfId="0" priority="343">
      <formula>AND($J68="Not Started",K68&lt;&gt;"")</formula>
    </cfRule>
    <cfRule type="expression" dxfId="1" priority="344">
      <formula>AND($J68="In Progress",K68&lt;&gt;"")</formula>
    </cfRule>
    <cfRule type="expression" dxfId="2" priority="345">
      <formula>AND($J68="Done",K68&lt;&gt;"")</formula>
    </cfRule>
    <cfRule type="expression" dxfId="3" priority="346">
      <formula>AND($J68="Blocked",K68&lt;&gt;"")</formula>
    </cfRule>
    <cfRule type="expression" dxfId="4" priority="347">
      <formula>AND($J68="Deferred",K68&lt;&gt;"")</formula>
    </cfRule>
    <cfRule type="expression" dxfId="5" priority="348">
      <formula>AND($J68="Contingency",K68&lt;&gt;"")</formula>
    </cfRule>
  </conditionalFormatting>
  <conditionalFormatting sqref="K69:DD69">
    <cfRule type="expression" dxfId="0" priority="349">
      <formula>AND($J69="Not Started",K69&lt;&gt;"")</formula>
    </cfRule>
    <cfRule type="expression" dxfId="1" priority="350">
      <formula>AND($J69="In Progress",K69&lt;&gt;"")</formula>
    </cfRule>
    <cfRule type="expression" dxfId="2" priority="351">
      <formula>AND($J69="Done",K69&lt;&gt;"")</formula>
    </cfRule>
    <cfRule type="expression" dxfId="3" priority="352">
      <formula>AND($J69="Blocked",K69&lt;&gt;"")</formula>
    </cfRule>
    <cfRule type="expression" dxfId="4" priority="353">
      <formula>AND($J69="Deferred",K69&lt;&gt;"")</formula>
    </cfRule>
    <cfRule type="expression" dxfId="5" priority="354">
      <formula>AND($J69="Contingency",K69&lt;&gt;"")</formula>
    </cfRule>
  </conditionalFormatting>
  <conditionalFormatting sqref="K70:DD70">
    <cfRule type="expression" dxfId="0" priority="355">
      <formula>AND($J70="Not Started",K70&lt;&gt;"")</formula>
    </cfRule>
    <cfRule type="expression" dxfId="1" priority="356">
      <formula>AND($J70="In Progress",K70&lt;&gt;"")</formula>
    </cfRule>
    <cfRule type="expression" dxfId="2" priority="357">
      <formula>AND($J70="Done",K70&lt;&gt;"")</formula>
    </cfRule>
    <cfRule type="expression" dxfId="3" priority="358">
      <formula>AND($J70="Blocked",K70&lt;&gt;"")</formula>
    </cfRule>
    <cfRule type="expression" dxfId="4" priority="359">
      <formula>AND($J70="Deferred",K70&lt;&gt;"")</formula>
    </cfRule>
    <cfRule type="expression" dxfId="5" priority="360">
      <formula>AND($J70="Contingency",K70&lt;&gt;"")</formula>
    </cfRule>
  </conditionalFormatting>
  <conditionalFormatting sqref="K71:DD71">
    <cfRule type="expression" dxfId="0" priority="361">
      <formula>AND($J71="Not Started",K71&lt;&gt;"")</formula>
    </cfRule>
    <cfRule type="expression" dxfId="1" priority="362">
      <formula>AND($J71="In Progress",K71&lt;&gt;"")</formula>
    </cfRule>
    <cfRule type="expression" dxfId="2" priority="363">
      <formula>AND($J71="Done",K71&lt;&gt;"")</formula>
    </cfRule>
    <cfRule type="expression" dxfId="3" priority="364">
      <formula>AND($J71="Blocked",K71&lt;&gt;"")</formula>
    </cfRule>
    <cfRule type="expression" dxfId="4" priority="365">
      <formula>AND($J71="Deferred",K71&lt;&gt;"")</formula>
    </cfRule>
    <cfRule type="expression" dxfId="5" priority="366">
      <formula>AND($J71="Contingency",K71&lt;&gt;"")</formula>
    </cfRule>
  </conditionalFormatting>
  <conditionalFormatting sqref="K72:DD72">
    <cfRule type="expression" dxfId="0" priority="367">
      <formula>AND($J72="Not Started",K72&lt;&gt;"")</formula>
    </cfRule>
    <cfRule type="expression" dxfId="1" priority="368">
      <formula>AND($J72="In Progress",K72&lt;&gt;"")</formula>
    </cfRule>
    <cfRule type="expression" dxfId="2" priority="369">
      <formula>AND($J72="Done",K72&lt;&gt;"")</formula>
    </cfRule>
    <cfRule type="expression" dxfId="3" priority="370">
      <formula>AND($J72="Blocked",K72&lt;&gt;"")</formula>
    </cfRule>
    <cfRule type="expression" dxfId="4" priority="371">
      <formula>AND($J72="Deferred",K72&lt;&gt;"")</formula>
    </cfRule>
    <cfRule type="expression" dxfId="5" priority="372">
      <formula>AND($J72="Contingency",K72&lt;&gt;"")</formula>
    </cfRule>
  </conditionalFormatting>
  <conditionalFormatting sqref="K73:DD73">
    <cfRule type="expression" dxfId="0" priority="373">
      <formula>AND($J73="Not Started",K73&lt;&gt;"")</formula>
    </cfRule>
    <cfRule type="expression" dxfId="1" priority="374">
      <formula>AND($J73="In Progress",K73&lt;&gt;"")</formula>
    </cfRule>
    <cfRule type="expression" dxfId="2" priority="375">
      <formula>AND($J73="Done",K73&lt;&gt;"")</formula>
    </cfRule>
    <cfRule type="expression" dxfId="3" priority="376">
      <formula>AND($J73="Blocked",K73&lt;&gt;"")</formula>
    </cfRule>
    <cfRule type="expression" dxfId="4" priority="377">
      <formula>AND($J73="Deferred",K73&lt;&gt;"")</formula>
    </cfRule>
    <cfRule type="expression" dxfId="5" priority="378">
      <formula>AND($J73="Contingency",K73&lt;&gt;"")</formula>
    </cfRule>
  </conditionalFormatting>
  <conditionalFormatting sqref="K74:DD74">
    <cfRule type="expression" dxfId="0" priority="379">
      <formula>AND($J74="Not Started",K74&lt;&gt;"")</formula>
    </cfRule>
    <cfRule type="expression" dxfId="1" priority="380">
      <formula>AND($J74="In Progress",K74&lt;&gt;"")</formula>
    </cfRule>
    <cfRule type="expression" dxfId="2" priority="381">
      <formula>AND($J74="Done",K74&lt;&gt;"")</formula>
    </cfRule>
    <cfRule type="expression" dxfId="3" priority="382">
      <formula>AND($J74="Blocked",K74&lt;&gt;"")</formula>
    </cfRule>
    <cfRule type="expression" dxfId="4" priority="383">
      <formula>AND($J74="Deferred",K74&lt;&gt;"")</formula>
    </cfRule>
    <cfRule type="expression" dxfId="5" priority="384">
      <formula>AND($J74="Contingency",K74&lt;&gt;"")</formula>
    </cfRule>
  </conditionalFormatting>
  <conditionalFormatting sqref="K75:DD75">
    <cfRule type="expression" dxfId="0" priority="385">
      <formula>AND($J75="Not Started",K75&lt;&gt;"")</formula>
    </cfRule>
    <cfRule type="expression" dxfId="1" priority="386">
      <formula>AND($J75="In Progress",K75&lt;&gt;"")</formula>
    </cfRule>
    <cfRule type="expression" dxfId="2" priority="387">
      <formula>AND($J75="Done",K75&lt;&gt;"")</formula>
    </cfRule>
    <cfRule type="expression" dxfId="3" priority="388">
      <formula>AND($J75="Blocked",K75&lt;&gt;"")</formula>
    </cfRule>
    <cfRule type="expression" dxfId="4" priority="389">
      <formula>AND($J75="Deferred",K75&lt;&gt;"")</formula>
    </cfRule>
    <cfRule type="expression" dxfId="5" priority="390">
      <formula>AND($J75="Contingency",K75&lt;&gt;"")</formula>
    </cfRule>
  </conditionalFormatting>
  <conditionalFormatting sqref="K76:DD76">
    <cfRule type="expression" dxfId="0" priority="391">
      <formula>AND($J76="Not Started",K76&lt;&gt;"")</formula>
    </cfRule>
    <cfRule type="expression" dxfId="1" priority="392">
      <formula>AND($J76="In Progress",K76&lt;&gt;"")</formula>
    </cfRule>
    <cfRule type="expression" dxfId="2" priority="393">
      <formula>AND($J76="Done",K76&lt;&gt;"")</formula>
    </cfRule>
    <cfRule type="expression" dxfId="3" priority="394">
      <formula>AND($J76="Blocked",K76&lt;&gt;"")</formula>
    </cfRule>
    <cfRule type="expression" dxfId="4" priority="395">
      <formula>AND($J76="Deferred",K76&lt;&gt;"")</formula>
    </cfRule>
    <cfRule type="expression" dxfId="5" priority="396">
      <formula>AND($J76="Contingency",K76&lt;&gt;"")</formula>
    </cfRule>
  </conditionalFormatting>
  <conditionalFormatting sqref="K77:DD77">
    <cfRule type="expression" dxfId="0" priority="397">
      <formula>AND($J77="Not Started",K77&lt;&gt;"")</formula>
    </cfRule>
    <cfRule type="expression" dxfId="1" priority="398">
      <formula>AND($J77="In Progress",K77&lt;&gt;"")</formula>
    </cfRule>
    <cfRule type="expression" dxfId="2" priority="399">
      <formula>AND($J77="Done",K77&lt;&gt;"")</formula>
    </cfRule>
    <cfRule type="expression" dxfId="3" priority="400">
      <formula>AND($J77="Blocked",K77&lt;&gt;"")</formula>
    </cfRule>
    <cfRule type="expression" dxfId="4" priority="401">
      <formula>AND($J77="Deferred",K77&lt;&gt;"")</formula>
    </cfRule>
    <cfRule type="expression" dxfId="5" priority="402">
      <formula>AND($J77="Contingency",K77&lt;&gt;"")</formula>
    </cfRule>
  </conditionalFormatting>
  <conditionalFormatting sqref="K78:DD78">
    <cfRule type="expression" dxfId="0" priority="403">
      <formula>AND($J78="Not Started",K78&lt;&gt;"")</formula>
    </cfRule>
    <cfRule type="expression" dxfId="1" priority="404">
      <formula>AND($J78="In Progress",K78&lt;&gt;"")</formula>
    </cfRule>
    <cfRule type="expression" dxfId="2" priority="405">
      <formula>AND($J78="Done",K78&lt;&gt;"")</formula>
    </cfRule>
    <cfRule type="expression" dxfId="3" priority="406">
      <formula>AND($J78="Blocked",K78&lt;&gt;"")</formula>
    </cfRule>
    <cfRule type="expression" dxfId="4" priority="407">
      <formula>AND($J78="Deferred",K78&lt;&gt;"")</formula>
    </cfRule>
    <cfRule type="expression" dxfId="5" priority="408">
      <formula>AND($J78="Contingency",K78&lt;&gt;"")</formula>
    </cfRule>
  </conditionalFormatting>
  <conditionalFormatting sqref="K79:DD79">
    <cfRule type="expression" dxfId="0" priority="409">
      <formula>AND($J79="Not Started",K79&lt;&gt;"")</formula>
    </cfRule>
    <cfRule type="expression" dxfId="1" priority="410">
      <formula>AND($J79="In Progress",K79&lt;&gt;"")</formula>
    </cfRule>
    <cfRule type="expression" dxfId="2" priority="411">
      <formula>AND($J79="Done",K79&lt;&gt;"")</formula>
    </cfRule>
    <cfRule type="expression" dxfId="3" priority="412">
      <formula>AND($J79="Blocked",K79&lt;&gt;"")</formula>
    </cfRule>
    <cfRule type="expression" dxfId="4" priority="413">
      <formula>AND($J79="Deferred",K79&lt;&gt;"")</formula>
    </cfRule>
    <cfRule type="expression" dxfId="5" priority="414">
      <formula>AND($J79="Contingency",K79&lt;&gt;"")</formula>
    </cfRule>
  </conditionalFormatting>
  <conditionalFormatting sqref="K80:DD80">
    <cfRule type="expression" dxfId="0" priority="415">
      <formula>AND($J80="Not Started",K80&lt;&gt;"")</formula>
    </cfRule>
    <cfRule type="expression" dxfId="1" priority="416">
      <formula>AND($J80="In Progress",K80&lt;&gt;"")</formula>
    </cfRule>
    <cfRule type="expression" dxfId="2" priority="417">
      <formula>AND($J80="Done",K80&lt;&gt;"")</formula>
    </cfRule>
    <cfRule type="expression" dxfId="3" priority="418">
      <formula>AND($J80="Blocked",K80&lt;&gt;"")</formula>
    </cfRule>
    <cfRule type="expression" dxfId="4" priority="419">
      <formula>AND($J80="Deferred",K80&lt;&gt;"")</formula>
    </cfRule>
    <cfRule type="expression" dxfId="5" priority="420">
      <formula>AND($J80="Contingency",K80&lt;&gt;"")</formula>
    </cfRule>
  </conditionalFormatting>
  <conditionalFormatting sqref="K81:DD81">
    <cfRule type="expression" dxfId="0" priority="421">
      <formula>AND($J81="Not Started",K81&lt;&gt;"")</formula>
    </cfRule>
    <cfRule type="expression" dxfId="1" priority="422">
      <formula>AND($J81="In Progress",K81&lt;&gt;"")</formula>
    </cfRule>
    <cfRule type="expression" dxfId="2" priority="423">
      <formula>AND($J81="Done",K81&lt;&gt;"")</formula>
    </cfRule>
    <cfRule type="expression" dxfId="3" priority="424">
      <formula>AND($J81="Blocked",K81&lt;&gt;"")</formula>
    </cfRule>
    <cfRule type="expression" dxfId="4" priority="425">
      <formula>AND($J81="Deferred",K81&lt;&gt;"")</formula>
    </cfRule>
    <cfRule type="expression" dxfId="5" priority="426">
      <formula>AND($J81="Contingency",K81&lt;&gt;"")</formula>
    </cfRule>
  </conditionalFormatting>
  <conditionalFormatting sqref="K82:DD82">
    <cfRule type="expression" dxfId="0" priority="427">
      <formula>AND($J82="Not Started",K82&lt;&gt;"")</formula>
    </cfRule>
    <cfRule type="expression" dxfId="1" priority="428">
      <formula>AND($J82="In Progress",K82&lt;&gt;"")</formula>
    </cfRule>
    <cfRule type="expression" dxfId="2" priority="429">
      <formula>AND($J82="Done",K82&lt;&gt;"")</formula>
    </cfRule>
    <cfRule type="expression" dxfId="3" priority="430">
      <formula>AND($J82="Blocked",K82&lt;&gt;"")</formula>
    </cfRule>
    <cfRule type="expression" dxfId="4" priority="431">
      <formula>AND($J82="Deferred",K82&lt;&gt;"")</formula>
    </cfRule>
    <cfRule type="expression" dxfId="5" priority="432">
      <formula>AND($J82="Contingency",K82&lt;&gt;"")</formula>
    </cfRule>
  </conditionalFormatting>
  <conditionalFormatting sqref="K83:DD83">
    <cfRule type="expression" dxfId="0" priority="433">
      <formula>AND($J83="Not Started",K83&lt;&gt;"")</formula>
    </cfRule>
    <cfRule type="expression" dxfId="1" priority="434">
      <formula>AND($J83="In Progress",K83&lt;&gt;"")</formula>
    </cfRule>
    <cfRule type="expression" dxfId="2" priority="435">
      <formula>AND($J83="Done",K83&lt;&gt;"")</formula>
    </cfRule>
    <cfRule type="expression" dxfId="3" priority="436">
      <formula>AND($J83="Blocked",K83&lt;&gt;"")</formula>
    </cfRule>
    <cfRule type="expression" dxfId="4" priority="437">
      <formula>AND($J83="Deferred",K83&lt;&gt;"")</formula>
    </cfRule>
    <cfRule type="expression" dxfId="5" priority="438">
      <formula>AND($J83="Contingency",K83&lt;&gt;"")</formula>
    </cfRule>
  </conditionalFormatting>
  <conditionalFormatting sqref="K84:DD84">
    <cfRule type="expression" dxfId="0" priority="439">
      <formula>AND($J84="Not Started",K84&lt;&gt;"")</formula>
    </cfRule>
    <cfRule type="expression" dxfId="1" priority="440">
      <formula>AND($J84="In Progress",K84&lt;&gt;"")</formula>
    </cfRule>
    <cfRule type="expression" dxfId="2" priority="441">
      <formula>AND($J84="Done",K84&lt;&gt;"")</formula>
    </cfRule>
    <cfRule type="expression" dxfId="3" priority="442">
      <formula>AND($J84="Blocked",K84&lt;&gt;"")</formula>
    </cfRule>
    <cfRule type="expression" dxfId="4" priority="443">
      <formula>AND($J84="Deferred",K84&lt;&gt;"")</formula>
    </cfRule>
    <cfRule type="expression" dxfId="5" priority="444">
      <formula>AND($J84="Contingency",K84&lt;&gt;"")</formula>
    </cfRule>
  </conditionalFormatting>
  <conditionalFormatting sqref="K85:DD85">
    <cfRule type="expression" dxfId="0" priority="445">
      <formula>AND($J85="Not Started",K85&lt;&gt;"")</formula>
    </cfRule>
    <cfRule type="expression" dxfId="1" priority="446">
      <formula>AND($J85="In Progress",K85&lt;&gt;"")</formula>
    </cfRule>
    <cfRule type="expression" dxfId="2" priority="447">
      <formula>AND($J85="Done",K85&lt;&gt;"")</formula>
    </cfRule>
    <cfRule type="expression" dxfId="3" priority="448">
      <formula>AND($J85="Blocked",K85&lt;&gt;"")</formula>
    </cfRule>
    <cfRule type="expression" dxfId="4" priority="449">
      <formula>AND($J85="Deferred",K85&lt;&gt;"")</formula>
    </cfRule>
    <cfRule type="expression" dxfId="5" priority="450">
      <formula>AND($J85="Contingency",K85&lt;&gt;"")</formula>
    </cfRule>
  </conditionalFormatting>
  <conditionalFormatting sqref="K86:DD86">
    <cfRule type="expression" dxfId="0" priority="451">
      <formula>AND($J86="Not Started",K86&lt;&gt;"")</formula>
    </cfRule>
    <cfRule type="expression" dxfId="1" priority="452">
      <formula>AND($J86="In Progress",K86&lt;&gt;"")</formula>
    </cfRule>
    <cfRule type="expression" dxfId="2" priority="453">
      <formula>AND($J86="Done",K86&lt;&gt;"")</formula>
    </cfRule>
    <cfRule type="expression" dxfId="3" priority="454">
      <formula>AND($J86="Blocked",K86&lt;&gt;"")</formula>
    </cfRule>
    <cfRule type="expression" dxfId="4" priority="455">
      <formula>AND($J86="Deferred",K86&lt;&gt;"")</formula>
    </cfRule>
    <cfRule type="expression" dxfId="5" priority="456">
      <formula>AND($J86="Contingency",K86&lt;&gt;"")</formula>
    </cfRule>
  </conditionalFormatting>
  <conditionalFormatting sqref="K87:DD87">
    <cfRule type="expression" dxfId="0" priority="457">
      <formula>AND($J87="Not Started",K87&lt;&gt;"")</formula>
    </cfRule>
    <cfRule type="expression" dxfId="1" priority="458">
      <formula>AND($J87="In Progress",K87&lt;&gt;"")</formula>
    </cfRule>
    <cfRule type="expression" dxfId="2" priority="459">
      <formula>AND($J87="Done",K87&lt;&gt;"")</formula>
    </cfRule>
    <cfRule type="expression" dxfId="3" priority="460">
      <formula>AND($J87="Blocked",K87&lt;&gt;"")</formula>
    </cfRule>
    <cfRule type="expression" dxfId="4" priority="461">
      <formula>AND($J87="Deferred",K87&lt;&gt;"")</formula>
    </cfRule>
    <cfRule type="expression" dxfId="5" priority="462">
      <formula>AND($J87="Contingency",K87&lt;&gt;"")</formula>
    </cfRule>
  </conditionalFormatting>
  <conditionalFormatting sqref="K88:DD88">
    <cfRule type="expression" dxfId="0" priority="463">
      <formula>AND($J88="Not Started",K88&lt;&gt;"")</formula>
    </cfRule>
    <cfRule type="expression" dxfId="1" priority="464">
      <formula>AND($J88="In Progress",K88&lt;&gt;"")</formula>
    </cfRule>
    <cfRule type="expression" dxfId="2" priority="465">
      <formula>AND($J88="Done",K88&lt;&gt;"")</formula>
    </cfRule>
    <cfRule type="expression" dxfId="3" priority="466">
      <formula>AND($J88="Blocked",K88&lt;&gt;"")</formula>
    </cfRule>
    <cfRule type="expression" dxfId="4" priority="467">
      <formula>AND($J88="Deferred",K88&lt;&gt;"")</formula>
    </cfRule>
    <cfRule type="expression" dxfId="5" priority="468">
      <formula>AND($J88="Contingency",K88&lt;&gt;"")</formula>
    </cfRule>
  </conditionalFormatting>
  <conditionalFormatting sqref="K89:DD89">
    <cfRule type="expression" dxfId="0" priority="469">
      <formula>AND($J89="Not Started",K89&lt;&gt;"")</formula>
    </cfRule>
    <cfRule type="expression" dxfId="1" priority="470">
      <formula>AND($J89="In Progress",K89&lt;&gt;"")</formula>
    </cfRule>
    <cfRule type="expression" dxfId="2" priority="471">
      <formula>AND($J89="Done",K89&lt;&gt;"")</formula>
    </cfRule>
    <cfRule type="expression" dxfId="3" priority="472">
      <formula>AND($J89="Blocked",K89&lt;&gt;"")</formula>
    </cfRule>
    <cfRule type="expression" dxfId="4" priority="473">
      <formula>AND($J89="Deferred",K89&lt;&gt;"")</formula>
    </cfRule>
    <cfRule type="expression" dxfId="5" priority="474">
      <formula>AND($J89="Contingency",K89&lt;&gt;"")</formula>
    </cfRule>
  </conditionalFormatting>
  <conditionalFormatting sqref="K90:DD90">
    <cfRule type="expression" dxfId="0" priority="475">
      <formula>AND($J90="Not Started",K90&lt;&gt;"")</formula>
    </cfRule>
    <cfRule type="expression" dxfId="1" priority="476">
      <formula>AND($J90="In Progress",K90&lt;&gt;"")</formula>
    </cfRule>
    <cfRule type="expression" dxfId="2" priority="477">
      <formula>AND($J90="Done",K90&lt;&gt;"")</formula>
    </cfRule>
    <cfRule type="expression" dxfId="3" priority="478">
      <formula>AND($J90="Blocked",K90&lt;&gt;"")</formula>
    </cfRule>
    <cfRule type="expression" dxfId="4" priority="479">
      <formula>AND($J90="Deferred",K90&lt;&gt;"")</formula>
    </cfRule>
    <cfRule type="expression" dxfId="5" priority="480">
      <formula>AND($J90="Contingency",K90&lt;&gt;"")</formula>
    </cfRule>
  </conditionalFormatting>
  <conditionalFormatting sqref="K91:DD91">
    <cfRule type="expression" dxfId="0" priority="481">
      <formula>AND($J91="Not Started",K91&lt;&gt;"")</formula>
    </cfRule>
    <cfRule type="expression" dxfId="1" priority="482">
      <formula>AND($J91="In Progress",K91&lt;&gt;"")</formula>
    </cfRule>
    <cfRule type="expression" dxfId="2" priority="483">
      <formula>AND($J91="Done",K91&lt;&gt;"")</formula>
    </cfRule>
    <cfRule type="expression" dxfId="3" priority="484">
      <formula>AND($J91="Blocked",K91&lt;&gt;"")</formula>
    </cfRule>
    <cfRule type="expression" dxfId="4" priority="485">
      <formula>AND($J91="Deferred",K91&lt;&gt;"")</formula>
    </cfRule>
    <cfRule type="expression" dxfId="5" priority="486">
      <formula>AND($J91="Contingency",K91&lt;&gt;"")</formula>
    </cfRule>
  </conditionalFormatting>
  <conditionalFormatting sqref="K92:DD92">
    <cfRule type="expression" dxfId="0" priority="487">
      <formula>AND($J92="Not Started",K92&lt;&gt;"")</formula>
    </cfRule>
    <cfRule type="expression" dxfId="1" priority="488">
      <formula>AND($J92="In Progress",K92&lt;&gt;"")</formula>
    </cfRule>
    <cfRule type="expression" dxfId="2" priority="489">
      <formula>AND($J92="Done",K92&lt;&gt;"")</formula>
    </cfRule>
    <cfRule type="expression" dxfId="3" priority="490">
      <formula>AND($J92="Blocked",K92&lt;&gt;"")</formula>
    </cfRule>
    <cfRule type="expression" dxfId="4" priority="491">
      <formula>AND($J92="Deferred",K92&lt;&gt;"")</formula>
    </cfRule>
    <cfRule type="expression" dxfId="5" priority="492">
      <formula>AND($J92="Contingency",K92&lt;&gt;"")</formula>
    </cfRule>
  </conditionalFormatting>
  <conditionalFormatting sqref="K93:DD93">
    <cfRule type="expression" dxfId="0" priority="493">
      <formula>AND($J93="Not Started",K93&lt;&gt;"")</formula>
    </cfRule>
    <cfRule type="expression" dxfId="1" priority="494">
      <formula>AND($J93="In Progress",K93&lt;&gt;"")</formula>
    </cfRule>
    <cfRule type="expression" dxfId="2" priority="495">
      <formula>AND($J93="Done",K93&lt;&gt;"")</formula>
    </cfRule>
    <cfRule type="expression" dxfId="3" priority="496">
      <formula>AND($J93="Blocked",K93&lt;&gt;"")</formula>
    </cfRule>
    <cfRule type="expression" dxfId="4" priority="497">
      <formula>AND($J93="Deferred",K93&lt;&gt;"")</formula>
    </cfRule>
    <cfRule type="expression" dxfId="5" priority="498">
      <formula>AND($J93="Contingency",K93&lt;&gt;"")</formula>
    </cfRule>
  </conditionalFormatting>
  <conditionalFormatting sqref="K94:DD94">
    <cfRule type="expression" dxfId="0" priority="499">
      <formula>AND($J94="Not Started",K94&lt;&gt;"")</formula>
    </cfRule>
    <cfRule type="expression" dxfId="1" priority="500">
      <formula>AND($J94="In Progress",K94&lt;&gt;"")</formula>
    </cfRule>
    <cfRule type="expression" dxfId="2" priority="501">
      <formula>AND($J94="Done",K94&lt;&gt;"")</formula>
    </cfRule>
    <cfRule type="expression" dxfId="3" priority="502">
      <formula>AND($J94="Blocked",K94&lt;&gt;"")</formula>
    </cfRule>
    <cfRule type="expression" dxfId="4" priority="503">
      <formula>AND($J94="Deferred",K94&lt;&gt;"")</formula>
    </cfRule>
    <cfRule type="expression" dxfId="5" priority="504">
      <formula>AND($J94="Contingency",K94&lt;&gt;"")</formula>
    </cfRule>
  </conditionalFormatting>
  <dataValidations count="75">
    <dataValidation type="list" allowBlank="1" showInputMessage="1" showErrorMessage="1" sqref="J12">
      <formula1>"Not Started,In Progress,Done,Blocked,Deferred,Contingency"</formula1>
    </dataValidation>
    <dataValidation type="list" allowBlank="1" showInputMessage="1" showErrorMessage="1" sqref="J13">
      <formula1>"Not Started,In Progress,Done,Blocked,Deferred,Contingency"</formula1>
    </dataValidation>
    <dataValidation type="list" allowBlank="1" showInputMessage="1" showErrorMessage="1" sqref="J14">
      <formula1>"Not Started,In Progress,Done,Blocked,Deferred,Contingency"</formula1>
    </dataValidation>
    <dataValidation type="list" allowBlank="1" showInputMessage="1" showErrorMessage="1" sqref="J15">
      <formula1>"Not Started,In Progress,Done,Blocked,Deferred,Contingency"</formula1>
    </dataValidation>
    <dataValidation type="list" allowBlank="1" showInputMessage="1" showErrorMessage="1" sqref="J16">
      <formula1>"Not Started,In Progress,Done,Blocked,Deferred,Contingency"</formula1>
    </dataValidation>
    <dataValidation type="list" allowBlank="1" showInputMessage="1" showErrorMessage="1" sqref="J17">
      <formula1>"Not Started,In Progress,Done,Blocked,Deferred,Contingency"</formula1>
    </dataValidation>
    <dataValidation type="list" allowBlank="1" showInputMessage="1" showErrorMessage="1" sqref="J19">
      <formula1>"Not Started,In Progress,Done,Blocked,Deferred,Contingency"</formula1>
    </dataValidation>
    <dataValidation type="list" allowBlank="1" showInputMessage="1" showErrorMessage="1" sqref="J20">
      <formula1>"Not Started,In Progress,Done,Blocked,Deferred,Contingency"</formula1>
    </dataValidation>
    <dataValidation type="list" allowBlank="1" showInputMessage="1" showErrorMessage="1" sqref="J21">
      <formula1>"Not Started,In Progress,Done,Blocked,Deferred,Contingency"</formula1>
    </dataValidation>
    <dataValidation type="list" allowBlank="1" showInputMessage="1" showErrorMessage="1" sqref="J22">
      <formula1>"Not Started,In Progress,Done,Blocked,Deferred,Contingency"</formula1>
    </dataValidation>
    <dataValidation type="list" allowBlank="1" showInputMessage="1" showErrorMessage="1" sqref="J23">
      <formula1>"Not Started,In Progress,Done,Blocked,Deferred,Contingency"</formula1>
    </dataValidation>
    <dataValidation type="list" allowBlank="1" showInputMessage="1" showErrorMessage="1" sqref="J24">
      <formula1>"Not Started,In Progress,Done,Blocked,Deferred,Contingency"</formula1>
    </dataValidation>
    <dataValidation type="list" allowBlank="1" showInputMessage="1" showErrorMessage="1" sqref="J26">
      <formula1>"Not Started,In Progress,Done,Blocked,Deferred,Contingency"</formula1>
    </dataValidation>
    <dataValidation type="list" allowBlank="1" showInputMessage="1" showErrorMessage="1" sqref="J27">
      <formula1>"Not Started,In Progress,Done,Blocked,Deferred,Contingency"</formula1>
    </dataValidation>
    <dataValidation type="list" allowBlank="1" showInputMessage="1" showErrorMessage="1" sqref="J28">
      <formula1>"Not Started,In Progress,Done,Blocked,Deferred,Contingency"</formula1>
    </dataValidation>
    <dataValidation type="list" allowBlank="1" showInputMessage="1" showErrorMessage="1" sqref="J29">
      <formula1>"Not Started,In Progress,Done,Blocked,Deferred,Contingency"</formula1>
    </dataValidation>
    <dataValidation type="list" allowBlank="1" showInputMessage="1" showErrorMessage="1" sqref="J30">
      <formula1>"Not Started,In Progress,Done,Blocked,Deferred,Contingency"</formula1>
    </dataValidation>
    <dataValidation type="list" allowBlank="1" showInputMessage="1" showErrorMessage="1" sqref="J31">
      <formula1>"Not Started,In Progress,Done,Blocked,Deferred,Contingency"</formula1>
    </dataValidation>
    <dataValidation type="list" allowBlank="1" showInputMessage="1" showErrorMessage="1" sqref="J32">
      <formula1>"Not Started,In Progress,Done,Blocked,Deferred,Contingency"</formula1>
    </dataValidation>
    <dataValidation type="list" allowBlank="1" showInputMessage="1" showErrorMessage="1" sqref="J33">
      <formula1>"Not Started,In Progress,Done,Blocked,Deferred,Contingency"</formula1>
    </dataValidation>
    <dataValidation type="list" allowBlank="1" showInputMessage="1" showErrorMessage="1" sqref="J34">
      <formula1>"Not Started,In Progress,Done,Blocked,Deferred,Contingency"</formula1>
    </dataValidation>
    <dataValidation type="list" allowBlank="1" showInputMessage="1" showErrorMessage="1" sqref="J35">
      <formula1>"Not Started,In Progress,Done,Blocked,Deferred,Contingency"</formula1>
    </dataValidation>
    <dataValidation type="list" allowBlank="1" showInputMessage="1" showErrorMessage="1" sqref="J37">
      <formula1>"Not Started,In Progress,Done,Blocked,Deferred,Contingency"</formula1>
    </dataValidation>
    <dataValidation type="list" allowBlank="1" showInputMessage="1" showErrorMessage="1" sqref="J38">
      <formula1>"Not Started,In Progress,Done,Blocked,Deferred,Contingency"</formula1>
    </dataValidation>
    <dataValidation type="list" allowBlank="1" showInputMessage="1" showErrorMessage="1" sqref="J39">
      <formula1>"Not Started,In Progress,Done,Blocked,Deferred,Contingency"</formula1>
    </dataValidation>
    <dataValidation type="list" allowBlank="1" showInputMessage="1" showErrorMessage="1" sqref="J40">
      <formula1>"Not Started,In Progress,Done,Blocked,Deferred,Contingency"</formula1>
    </dataValidation>
    <dataValidation type="list" allowBlank="1" showInputMessage="1" showErrorMessage="1" sqref="J41">
      <formula1>"Not Started,In Progress,Done,Blocked,Deferred,Contingency"</formula1>
    </dataValidation>
    <dataValidation type="list" allowBlank="1" showInputMessage="1" showErrorMessage="1" sqref="J42">
      <formula1>"Not Started,In Progress,Done,Blocked,Deferred,Contingency"</formula1>
    </dataValidation>
    <dataValidation type="list" allowBlank="1" showInputMessage="1" showErrorMessage="1" sqref="J43">
      <formula1>"Not Started,In Progress,Done,Blocked,Deferred,Contingency"</formula1>
    </dataValidation>
    <dataValidation type="list" allowBlank="1" showInputMessage="1" showErrorMessage="1" sqref="J44">
      <formula1>"Not Started,In Progress,Done,Blocked,Deferred,Contingency"</formula1>
    </dataValidation>
    <dataValidation type="list" allowBlank="1" showInputMessage="1" showErrorMessage="1" sqref="J45">
      <formula1>"Not Started,In Progress,Done,Blocked,Deferred,Contingency"</formula1>
    </dataValidation>
    <dataValidation type="list" allowBlank="1" showInputMessage="1" showErrorMessage="1" sqref="J46">
      <formula1>"Not Started,In Progress,Done,Blocked,Deferred,Contingency"</formula1>
    </dataValidation>
    <dataValidation type="list" allowBlank="1" showInputMessage="1" showErrorMessage="1" sqref="J48">
      <formula1>"Not Started,In Progress,Done,Blocked,Deferred,Contingency"</formula1>
    </dataValidation>
    <dataValidation type="list" allowBlank="1" showInputMessage="1" showErrorMessage="1" sqref="J49">
      <formula1>"Not Started,In Progress,Done,Blocked,Deferred,Contingency"</formula1>
    </dataValidation>
    <dataValidation type="list" allowBlank="1" showInputMessage="1" showErrorMessage="1" sqref="J50">
      <formula1>"Not Started,In Progress,Done,Blocked,Deferred,Contingency"</formula1>
    </dataValidation>
    <dataValidation type="list" allowBlank="1" showInputMessage="1" showErrorMessage="1" sqref="J51">
      <formula1>"Not Started,In Progress,Done,Blocked,Deferred,Contingency"</formula1>
    </dataValidation>
    <dataValidation type="list" allowBlank="1" showInputMessage="1" showErrorMessage="1" sqref="J52">
      <formula1>"Not Started,In Progress,Done,Blocked,Deferred,Contingency"</formula1>
    </dataValidation>
    <dataValidation type="list" allowBlank="1" showInputMessage="1" showErrorMessage="1" sqref="J53">
      <formula1>"Not Started,In Progress,Done,Blocked,Deferred,Contingency"</formula1>
    </dataValidation>
    <dataValidation type="list" allowBlank="1" showInputMessage="1" showErrorMessage="1" sqref="J54">
      <formula1>"Not Started,In Progress,Done,Blocked,Deferred,Contingency"</formula1>
    </dataValidation>
    <dataValidation type="list" allowBlank="1" showInputMessage="1" showErrorMessage="1" sqref="J55">
      <formula1>"Not Started,In Progress,Done,Blocked,Deferred,Contingency"</formula1>
    </dataValidation>
    <dataValidation type="list" allowBlank="1" showInputMessage="1" showErrorMessage="1" sqref="J56">
      <formula1>"Not Started,In Progress,Done,Blocked,Deferred,Contingency"</formula1>
    </dataValidation>
    <dataValidation type="list" allowBlank="1" showInputMessage="1" showErrorMessage="1" sqref="J58">
      <formula1>"Not Started,In Progress,Done,Blocked,Deferred,Contingency"</formula1>
    </dataValidation>
    <dataValidation type="list" allowBlank="1" showInputMessage="1" showErrorMessage="1" sqref="J59">
      <formula1>"Not Started,In Progress,Done,Blocked,Deferred,Contingency"</formula1>
    </dataValidation>
    <dataValidation type="list" allowBlank="1" showInputMessage="1" showErrorMessage="1" sqref="J60">
      <formula1>"Not Started,In Progress,Done,Blocked,Deferred,Contingency"</formula1>
    </dataValidation>
    <dataValidation type="list" allowBlank="1" showInputMessage="1" showErrorMessage="1" sqref="J61">
      <formula1>"Not Started,In Progress,Done,Blocked,Deferred,Contingency"</formula1>
    </dataValidation>
    <dataValidation type="list" allowBlank="1" showInputMessage="1" showErrorMessage="1" sqref="J62">
      <formula1>"Not Started,In Progress,Done,Blocked,Deferred,Contingency"</formula1>
    </dataValidation>
    <dataValidation type="list" allowBlank="1" showInputMessage="1" showErrorMessage="1" sqref="J63">
      <formula1>"Not Started,In Progress,Done,Blocked,Deferred,Contingency"</formula1>
    </dataValidation>
    <dataValidation type="list" allowBlank="1" showInputMessage="1" showErrorMessage="1" sqref="J65">
      <formula1>"Not Started,In Progress,Done,Blocked,Deferred,Contingency"</formula1>
    </dataValidation>
    <dataValidation type="list" allowBlank="1" showInputMessage="1" showErrorMessage="1" sqref="J66">
      <formula1>"Not Started,In Progress,Done,Blocked,Deferred,Contingency"</formula1>
    </dataValidation>
    <dataValidation type="list" allowBlank="1" showInputMessage="1" showErrorMessage="1" sqref="J67">
      <formula1>"Not Started,In Progress,Done,Blocked,Deferred,Contingency"</formula1>
    </dataValidation>
    <dataValidation type="list" allowBlank="1" showInputMessage="1" showErrorMessage="1" sqref="J68">
      <formula1>"Not Started,In Progress,Done,Blocked,Deferred,Contingency"</formula1>
    </dataValidation>
    <dataValidation type="list" allowBlank="1" showInputMessage="1" showErrorMessage="1" sqref="J69">
      <formula1>"Not Started,In Progress,Done,Blocked,Deferred,Contingency"</formula1>
    </dataValidation>
    <dataValidation type="list" allowBlank="1" showInputMessage="1" showErrorMessage="1" sqref="J70">
      <formula1>"Not Started,In Progress,Done,Blocked,Deferred,Contingency"</formula1>
    </dataValidation>
    <dataValidation type="list" allowBlank="1" showInputMessage="1" showErrorMessage="1" sqref="J71">
      <formula1>"Not Started,In Progress,Done,Blocked,Deferred,Contingency"</formula1>
    </dataValidation>
    <dataValidation type="list" allowBlank="1" showInputMessage="1" showErrorMessage="1" sqref="J72">
      <formula1>"Not Started,In Progress,Done,Blocked,Deferred,Contingency"</formula1>
    </dataValidation>
    <dataValidation type="list" allowBlank="1" showInputMessage="1" showErrorMessage="1" sqref="J73">
      <formula1>"Not Started,In Progress,Done,Blocked,Deferred,Contingency"</formula1>
    </dataValidation>
    <dataValidation type="list" allowBlank="1" showInputMessage="1" showErrorMessage="1" sqref="J74">
      <formula1>"Not Started,In Progress,Done,Blocked,Deferred,Contingency"</formula1>
    </dataValidation>
    <dataValidation type="list" allowBlank="1" showInputMessage="1" showErrorMessage="1" sqref="J75">
      <formula1>"Not Started,In Progress,Done,Blocked,Deferred,Contingency"</formula1>
    </dataValidation>
    <dataValidation type="list" allowBlank="1" showInputMessage="1" showErrorMessage="1" sqref="J77">
      <formula1>"Not Started,In Progress,Done,Blocked,Deferred,Contingency"</formula1>
    </dataValidation>
    <dataValidation type="list" allowBlank="1" showInputMessage="1" showErrorMessage="1" sqref="J78">
      <formula1>"Not Started,In Progress,Done,Blocked,Deferred,Contingency"</formula1>
    </dataValidation>
    <dataValidation type="list" allowBlank="1" showInputMessage="1" showErrorMessage="1" sqref="J79">
      <formula1>"Not Started,In Progress,Done,Blocked,Deferred,Contingency"</formula1>
    </dataValidation>
    <dataValidation type="list" allowBlank="1" showInputMessage="1" showErrorMessage="1" sqref="J80">
      <formula1>"Not Started,In Progress,Done,Blocked,Deferred,Contingency"</formula1>
    </dataValidation>
    <dataValidation type="list" allowBlank="1" showInputMessage="1" showErrorMessage="1" sqref="J81">
      <formula1>"Not Started,In Progress,Done,Blocked,Deferred,Contingency"</formula1>
    </dataValidation>
    <dataValidation type="list" allowBlank="1" showInputMessage="1" showErrorMessage="1" sqref="J82">
      <formula1>"Not Started,In Progress,Done,Blocked,Deferred,Contingency"</formula1>
    </dataValidation>
    <dataValidation type="list" allowBlank="1" showInputMessage="1" showErrorMessage="1" sqref="J83">
      <formula1>"Not Started,In Progress,Done,Blocked,Deferred,Contingency"</formula1>
    </dataValidation>
    <dataValidation type="list" allowBlank="1" showInputMessage="1" showErrorMessage="1" sqref="J85">
      <formula1>"Not Started,In Progress,Done,Blocked,Deferred,Contingency"</formula1>
    </dataValidation>
    <dataValidation type="list" allowBlank="1" showInputMessage="1" showErrorMessage="1" sqref="J86">
      <formula1>"Not Started,In Progress,Done,Blocked,Deferred,Contingency"</formula1>
    </dataValidation>
    <dataValidation type="list" allowBlank="1" showInputMessage="1" showErrorMessage="1" sqref="J87">
      <formula1>"Not Started,In Progress,Done,Blocked,Deferred,Contingency"</formula1>
    </dataValidation>
    <dataValidation type="list" allowBlank="1" showInputMessage="1" showErrorMessage="1" sqref="J88">
      <formula1>"Not Started,In Progress,Done,Blocked,Deferred,Contingency"</formula1>
    </dataValidation>
    <dataValidation type="list" allowBlank="1" showInputMessage="1" showErrorMessage="1" sqref="J89">
      <formula1>"Not Started,In Progress,Done,Blocked,Deferred,Contingency"</formula1>
    </dataValidation>
    <dataValidation type="list" allowBlank="1" showInputMessage="1" showErrorMessage="1" sqref="J90">
      <formula1>"Not Started,In Progress,Done,Blocked,Deferred,Contingency"</formula1>
    </dataValidation>
    <dataValidation type="list" allowBlank="1" showInputMessage="1" showErrorMessage="1" sqref="J91">
      <formula1>"Not Started,In Progress,Done,Blocked,Deferred,Contingency"</formula1>
    </dataValidation>
    <dataValidation type="list" allowBlank="1" showInputMessage="1" showErrorMessage="1" sqref="J92">
      <formula1>"Not Started,In Progress,Done,Blocked,Deferred,Contingency"</formula1>
    </dataValidation>
    <dataValidation type="list" allowBlank="1" showInputMessage="1" showErrorMessage="1" sqref="J93">
      <formula1>"Not Started,In Progress,Done,Blocked,Deferred,Contingency"</formula1>
    </dataValidation>
    <dataValidation type="list" allowBlank="1" showInputMessage="1" showErrorMessage="1" sqref="J94">
      <formula1>"Not Started,In Progress,Done,Blocked,Deferred,Contingency"</formula1>
    </dataValidation>
  </dataValidations>
  <hyperlinks>
    <hyperlink ref="A3" location="'Cover Page'!A1" display="← Cover Page"/>
    <hyperlink ref="E12" location="'Task Details'!A5" display="Audit repo và lập danh mục yêu cầu"/>
    <hyperlink ref="E13" location="'Task Details'!A6" display="Thiết kế UX chatbot, phạm vi và luồng hội thoại"/>
    <hyperlink ref="E14" location="'Task Details'!A7" display="Khóa contract, dữ liệu, công nghệ và API"/>
    <hyperlink ref="E15" location="'Task Details'!A8" display="Thiết lập nền phát triển và thiết kế nghiệm thu"/>
    <hyperlink ref="E16" location="'Task Details'!A9" display="G0 — Review, nghiệm thu và báo cáo giai đoạn"/>
    <hyperlink ref="E17" location="'Task Details'!A10" display="Dự phòng sửa lỗi, tích hợp hoặc nghỉ theo lịch thực tế"/>
    <hyperlink ref="E19" location="'Task Details'!A11" display="Kiểm kê và tiếp nhận snapshot crawler"/>
    <hyperlink ref="E20" location="'Task Details'!A12" display="Làm sạch, chia đoạn và gắn provenance"/>
    <hyperlink ref="E21" location="'Task Details'!A13" display="Policy catalog, trạng thái duyệt và PII boundary"/>
    <hyperlink ref="E22" location="'Task Details'!A14" display="Tạo bộ đánh giá chatbot và privacy ban đầu"/>
    <hyperlink ref="E23" location="'Task Details'!A15" display="G1 — Review, nghiệm thu và báo cáo giai đoạn"/>
    <hyperlink ref="E24" location="'Task Details'!A16" display="Dự phòng sửa lỗi, tích hợp hoặc nghỉ theo lịch thực tế"/>
    <hyperlink ref="E26" location="'Task Details'!A17" display="Lập chỉ mục và retrieval có bộ lọc"/>
    <hyperlink ref="E27" location="'Task Details'!A18" display="Benchmark BM25, dense và hybrid RRF"/>
    <hyperlink ref="E28" location="'Task Details'!A19" display="Đánh giá reranker trên tập nhỏ"/>
    <hyperlink ref="E29" location="'Task Details'!A20" display="Sinh câu trả lời có nguồn và kiểm soát đầu ra"/>
    <hyperlink ref="E30" location="'Task Details'!A21" display="API chat, phiên và bộ nhớ nhiều lượt"/>
    <hyperlink ref="E31" location="'Task Details'!A22" display="Giao diện chatbot và nguồn tham khảo"/>
    <hyperlink ref="E32" location="'Task Details'!A23" display="Telemetry, đóng gói demo và xử lý dependency fail"/>
    <hyperlink ref="E33" location="'Task Details'!A24" display="Đánh giá chatbot end-to-end và sửa lỗi"/>
    <hyperlink ref="E34" location="'Task Details'!A25" display="G2 — Review, nghiệm thu và báo cáo giai đoạn"/>
    <hyperlink ref="E35" location="'Task Details'!A26" display="Dự phòng sửa lỗi, tích hợp hoặc nghỉ theo lịch thực tế"/>
    <hyperlink ref="E37" location="'Task Details'!A27" display="Mô hình đơn hàng, ticket, action và outcome"/>
    <hyperlink ref="E38" location="'Task Details'!A28" display="Tra cứu đơn hàng có xác thực và kiểm soát truy cập"/>
    <hyperlink ref="E39" location="'Task Details'!A29" display="Policy engine xác định quyền lợi bằng rule"/>
    <hyperlink ref="E40" location="'Task Details'!A30" display="FSM resolution, MCP tools và reflection hữu hạn"/>
    <hyperlink ref="E41" location="'Task Details'!A31" display="Agent Workspace: context, evidence và review"/>
    <hyperlink ref="E42" location="'Task Details'!A32" display="Lưu phản hồi cuối, outcome và business events"/>
    <hyperlink ref="E43" location="'Task Details'!A33" display="Đánh giá resolution và luồng hỗ trợ"/>
    <hyperlink ref="E44" location="'Task Details'!A34" display="Cô lập công cụ và lỗi thực thi"/>
    <hyperlink ref="E45" location="'Task Details'!A35" display="G3 — Review, nghiệm thu và báo cáo giai đoạn"/>
    <hyperlink ref="E46" location="'Task Details'!A36" display="Dự phòng sửa lỗi, tích hợp hoặc nghỉ theo lịch thực tế"/>
    <hyperlink ref="E48" location="'Task Details'!A37" display="Khóa taxonomy, splits và dataset provenance"/>
    <hyperlink ref="E49" location="'Task Details'!A38" display="ABSA baseline và evaluation harness"/>
    <hyperlink ref="E50" location="'Task Details'!A39" display="Huấn luyện candidate và evidence spans"/>
    <hyperlink ref="E51" location="'Task Details'!A40" display="Chốt model bằng benchmark và release floor"/>
    <hyperlink ref="E52" location="'Task Details'!A41" display="Ingestion, queue và batch phủ toàn corpus"/>
    <hyperlink ref="E53" location="'Task Details'!A42" display="Semantic router, rate limit và triage API"/>
    <hyperlink ref="E54" location="'Task Details'!A43" display="Tích hợp triage thật vào chatbot và workspace"/>
    <hyperlink ref="E55" location="'Task Details'!A44" display="G4 — Review, nghiệm thu và báo cáo giai đoạn"/>
    <hyperlink ref="E56" location="'Task Details'!A45" display="Dự phòng sửa lỗi, tích hợp hoặc nghỉ theo lịch thực tế"/>
    <hyperlink ref="E58" location="'Task Details'!A46" display="Metrics SQL, lineage và cảnh báo"/>
    <hyperlink ref="E59" location="'Task Details'!A47" display="Dashboard Analyst/PM và business outcomes"/>
    <hyperlink ref="E60" location="'Task Details'!A48" display="Drill-down có cohort, diversity và benchmark"/>
    <hyperlink ref="E61" location="'Task Details'!A49" display="Kiểm nghiệm dashboard và cảnh báo"/>
    <hyperlink ref="E62" location="'Task Details'!A50" display="G5 — Review, nghiệm thu và báo cáo giai đoạn"/>
    <hyperlink ref="E63" location="'Task Details'!A51" display="Dự phòng sửa lỗi, tích hợp hoặc nghỉ theo lịch thực tế"/>
    <hyperlink ref="E65" location="'Task Details'!A52" display="Thống nhất ontology, IDs và lifecycle"/>
    <hyperlink ref="E66" location="'Task Details'!A53" display="Seed và đồng bộ graph có provenance"/>
    <hyperlink ref="E67" location="'Task Details'!A54" display="Local GraphRAG và vector→entity→graph"/>
    <hyperlink ref="E68" location="'Task Details'!A55" display="Nối graph vào resolution và chatbot"/>
    <hyperlink ref="E69" location="'Task Details'!A56" display="Analyst investigation và issue lifecycle UI"/>
    <hyperlink ref="E70" location="'Task Details'!A57" display="Steward review, policy retirement và publish"/>
    <hyperlink ref="E71" location="'Task Details'!A58" display="Staleness, version propagation và rollback"/>
    <hyperlink ref="E72" location="'Task Details'!A59" display="Nghiệm thu vòng analyst→knowledge→chatbot"/>
    <hyperlink ref="E73" location="'Task Details'!A60" display="Đánh giá và ghi quyết định GraphRAG nâng cao"/>
    <hyperlink ref="E74" location="'Task Details'!A61" display="G6 — Review, nghiệm thu và báo cáo giai đoạn"/>
    <hyperlink ref="E75" location="'Task Details'!A62" display="Nghỉ dự kiến 01/01/2027 (trích quỹ dự phòng)"/>
    <hyperlink ref="E77" location="'Task Details'!A63" display="Chuẩn hóa toàn bộ feedback và export"/>
    <hyperlink ref="E78" location="'Task Details'!A64" display="Một vòng active learning và model promotion"/>
    <hyperlink ref="E79" location="'Task Details'!A65" display="Drift, quality và feedback monitoring"/>
    <hyperlink ref="E80" location="'Task Details'!A66" display="Retention, correction và deletion propagation"/>
    <hyperlink ref="E81" location="'Task Details'!A67" display="Regression learning loop và outcome efficacy"/>
    <hyperlink ref="E82" location="'Task Details'!A68" display="G7 — Review, nghiệm thu và báo cáo giai đoạn"/>
    <hyperlink ref="E83" location="'Task Details'!A69" display="Dự phòng sửa lỗi, tích hợp hoặc nghỉ theo lịch thực tế"/>
    <hyperlink ref="E85" location="'Task Details'!A70" display="CI, AI gates và artifact release bất biến"/>
    <hyperlink ref="E86" location="'Task Details'!A71" display="Hạ tầng và phân quyền deployment mục tiêu"/>
    <hyperlink ref="E87" location="'Task Details'!A72" display="Deploy demo và health/observability thật"/>
    <hyperlink ref="E88" location="'Task Details'!A73" display="Load, failure, latency và sizing"/>
    <hyperlink ref="E89" location="'Task Details'!A74" display="Privacy/access, backup và rollback drill"/>
    <hyperlink ref="E90" location="'Task Details'!A75" display="UAT 5 vai trò và full regression"/>
    <hyperlink ref="E91" location="'Task Details'!A76" display="Business KPI đối chiếu baseline"/>
    <hyperlink ref="E92" location="'Task Details'!A77" display="Tài liệu bàn giao và bộ demo tái lập"/>
    <hyperlink ref="E93" location="'Task Details'!A78" display="G8 — Review, nghiệm thu và báo cáo giai đoạn"/>
    <hyperlink ref="E94" location="'Task Details'!A79" display="Dự phòng sửa lỗi, tích hợp hoặc nghỉ theo lịch thực tế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U79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.7109375" customWidth="1"/>
    <col min="2" max="2" width="12.7109375" customWidth="1"/>
    <col min="3" max="3" width="50.7109375" customWidth="1"/>
    <col min="4" max="5" width="14.7109375" customWidth="1"/>
    <col min="6" max="7" width="12.7109375" customWidth="1"/>
    <col min="8" max="8" width="23.7109375" customWidth="1"/>
    <col min="9" max="9" width="26.7109375" customWidth="1"/>
    <col min="10" max="10" width="55.7109375" customWidth="1"/>
    <col min="11" max="11" width="85.7109375" customWidth="1"/>
    <col min="12" max="12" width="65.7109375" customWidth="1"/>
    <col min="13" max="13" width="30.7109375" customWidth="1"/>
    <col min="14" max="14" width="52.7109375" customWidth="1"/>
    <col min="15" max="15" width="35.7109375" customWidth="1"/>
    <col min="16" max="16" width="25.7109375" customWidth="1"/>
    <col min="17" max="17" width="85.7109375" customWidth="1"/>
    <col min="18" max="18" width="38.7109375" customWidth="1"/>
    <col min="19" max="20" width="22.7109375" customWidth="1"/>
    <col min="21" max="21" width="55.7109375" customWidth="1"/>
  </cols>
  <sheetData>
    <row r="1" spans="1:21" ht="36" customHeight="1">
      <c r="A1" s="7" t="s">
        <v>404</v>
      </c>
      <c r="B1" s="7"/>
      <c r="C1" s="7"/>
      <c r="D1" s="7"/>
      <c r="E1" s="7"/>
      <c r="F1" s="7"/>
      <c r="G1" s="7"/>
      <c r="H1" s="7"/>
      <c r="I1" s="7"/>
      <c r="J1" s="7"/>
    </row>
    <row r="2" spans="1:21" ht="36" customHeight="1">
      <c r="A2" s="8" t="s">
        <v>405</v>
      </c>
      <c r="B2" s="8"/>
      <c r="C2" s="8"/>
      <c r="D2" s="8"/>
      <c r="E2" s="8"/>
      <c r="F2" s="8"/>
      <c r="G2" s="8"/>
      <c r="H2" s="8"/>
      <c r="I2" s="8"/>
      <c r="J2" s="8"/>
    </row>
    <row r="3" spans="1:21">
      <c r="A3" s="9" t="s">
        <v>79</v>
      </c>
    </row>
    <row r="4" spans="1:21" ht="33.75" customHeight="1">
      <c r="A4" s="26" t="s">
        <v>406</v>
      </c>
      <c r="B4" s="26" t="s">
        <v>407</v>
      </c>
      <c r="C4" s="26" t="s">
        <v>408</v>
      </c>
      <c r="D4" s="26" t="s">
        <v>2</v>
      </c>
      <c r="E4" s="26" t="s">
        <v>7</v>
      </c>
      <c r="F4" s="26" t="s">
        <v>409</v>
      </c>
      <c r="G4" s="26" t="s">
        <v>151</v>
      </c>
      <c r="H4" s="26" t="s">
        <v>410</v>
      </c>
      <c r="I4" s="26" t="s">
        <v>411</v>
      </c>
      <c r="J4" s="26" t="s">
        <v>145</v>
      </c>
      <c r="K4" s="26" t="s">
        <v>412</v>
      </c>
      <c r="L4" s="26" t="s">
        <v>413</v>
      </c>
      <c r="M4" s="26" t="s">
        <v>147</v>
      </c>
      <c r="N4" s="26" t="s">
        <v>148</v>
      </c>
      <c r="O4" s="26" t="s">
        <v>414</v>
      </c>
      <c r="P4" s="26" t="s">
        <v>415</v>
      </c>
      <c r="Q4" s="26" t="s">
        <v>416</v>
      </c>
      <c r="R4" s="26" t="s">
        <v>417</v>
      </c>
      <c r="S4" s="26" t="s">
        <v>418</v>
      </c>
      <c r="T4" s="26" t="s">
        <v>419</v>
      </c>
      <c r="U4" s="26" t="s">
        <v>420</v>
      </c>
    </row>
    <row r="5" spans="1:21" ht="45.75" customHeight="1">
      <c r="A5" s="35" t="s">
        <v>218</v>
      </c>
      <c r="B5" s="27" t="s">
        <v>11</v>
      </c>
      <c r="C5" s="27" t="s">
        <v>219</v>
      </c>
      <c r="D5" s="28">
        <v>46321</v>
      </c>
      <c r="E5" s="28">
        <v>46321</v>
      </c>
      <c r="F5" s="27" t="s">
        <v>421</v>
      </c>
      <c r="G5" s="27">
        <v>0.5</v>
      </c>
      <c r="H5" s="27" t="s">
        <v>110</v>
      </c>
      <c r="I5" s="27" t="s">
        <v>422</v>
      </c>
      <c r="J5" s="27" t="s">
        <v>423</v>
      </c>
      <c r="K5" s="27" t="s">
        <v>424</v>
      </c>
      <c r="L5" s="27" t="s">
        <v>425</v>
      </c>
      <c r="M5" s="27" t="s">
        <v>426</v>
      </c>
      <c r="N5" s="27" t="s">
        <v>427</v>
      </c>
      <c r="O5" s="27" t="s">
        <v>428</v>
      </c>
      <c r="Q5" s="27" t="s">
        <v>429</v>
      </c>
      <c r="R5" s="27" t="s">
        <v>430</v>
      </c>
      <c r="S5" s="27" t="s">
        <v>431</v>
      </c>
      <c r="T5" s="27" t="str">
        <f>'WBS'!J12</f>
        <v>Not Started</v>
      </c>
      <c r="U5" s="27" t="s">
        <v>432</v>
      </c>
    </row>
    <row r="6" spans="1:21" ht="62.25" customHeight="1">
      <c r="A6" s="36" t="s">
        <v>222</v>
      </c>
      <c r="B6" s="29" t="s">
        <v>11</v>
      </c>
      <c r="C6" s="29" t="s">
        <v>223</v>
      </c>
      <c r="D6" s="30">
        <v>46321</v>
      </c>
      <c r="E6" s="30">
        <v>46322</v>
      </c>
      <c r="F6" s="29" t="s">
        <v>433</v>
      </c>
      <c r="G6" s="29">
        <v>1</v>
      </c>
      <c r="H6" s="29" t="s">
        <v>110</v>
      </c>
      <c r="I6" s="29" t="s">
        <v>434</v>
      </c>
      <c r="J6" s="29" t="s">
        <v>435</v>
      </c>
      <c r="K6" s="29" t="s">
        <v>436</v>
      </c>
      <c r="L6" s="29" t="s">
        <v>437</v>
      </c>
      <c r="M6" s="29" t="s">
        <v>438</v>
      </c>
      <c r="N6" s="29" t="s">
        <v>439</v>
      </c>
      <c r="O6" s="29" t="s">
        <v>218</v>
      </c>
      <c r="P6" s="29" t="s">
        <v>440</v>
      </c>
      <c r="Q6" s="29" t="s">
        <v>441</v>
      </c>
      <c r="R6" s="29" t="s">
        <v>442</v>
      </c>
      <c r="S6" s="29" t="s">
        <v>431</v>
      </c>
      <c r="T6" s="29" t="str">
        <f>'WBS'!J13</f>
        <v>Not Started</v>
      </c>
      <c r="U6" s="29" t="s">
        <v>432</v>
      </c>
    </row>
    <row r="7" spans="1:21" ht="62.25" customHeight="1">
      <c r="A7" s="35" t="s">
        <v>225</v>
      </c>
      <c r="B7" s="27" t="s">
        <v>11</v>
      </c>
      <c r="C7" s="27" t="s">
        <v>226</v>
      </c>
      <c r="D7" s="28">
        <v>46322</v>
      </c>
      <c r="E7" s="28">
        <v>46323</v>
      </c>
      <c r="F7" s="27" t="s">
        <v>433</v>
      </c>
      <c r="G7" s="27">
        <v>1</v>
      </c>
      <c r="H7" s="27" t="s">
        <v>110</v>
      </c>
      <c r="I7" s="27" t="s">
        <v>443</v>
      </c>
      <c r="J7" s="27" t="s">
        <v>444</v>
      </c>
      <c r="K7" s="27" t="s">
        <v>445</v>
      </c>
      <c r="L7" s="27" t="s">
        <v>446</v>
      </c>
      <c r="M7" s="27" t="s">
        <v>447</v>
      </c>
      <c r="N7" s="27" t="s">
        <v>448</v>
      </c>
      <c r="O7" s="27" t="s">
        <v>222</v>
      </c>
      <c r="P7" s="27" t="s">
        <v>449</v>
      </c>
      <c r="Q7" s="27" t="s">
        <v>450</v>
      </c>
      <c r="R7" s="27" t="s">
        <v>451</v>
      </c>
      <c r="S7" s="27" t="s">
        <v>431</v>
      </c>
      <c r="T7" s="27" t="str">
        <f>'WBS'!J14</f>
        <v>Not Started</v>
      </c>
      <c r="U7" s="27" t="s">
        <v>432</v>
      </c>
    </row>
    <row r="8" spans="1:21" ht="62.25" customHeight="1">
      <c r="A8" s="36" t="s">
        <v>228</v>
      </c>
      <c r="B8" s="29" t="s">
        <v>11</v>
      </c>
      <c r="C8" s="29" t="s">
        <v>229</v>
      </c>
      <c r="D8" s="30">
        <v>46323</v>
      </c>
      <c r="E8" s="30">
        <v>46324</v>
      </c>
      <c r="F8" s="29" t="s">
        <v>433</v>
      </c>
      <c r="G8" s="29">
        <v>1</v>
      </c>
      <c r="H8" s="29" t="s">
        <v>110</v>
      </c>
      <c r="I8" s="29" t="s">
        <v>452</v>
      </c>
      <c r="J8" s="29" t="s">
        <v>453</v>
      </c>
      <c r="K8" s="29" t="s">
        <v>454</v>
      </c>
      <c r="L8" s="29" t="s">
        <v>455</v>
      </c>
      <c r="M8" s="29" t="s">
        <v>456</v>
      </c>
      <c r="N8" s="29" t="s">
        <v>457</v>
      </c>
      <c r="O8" s="29" t="s">
        <v>225</v>
      </c>
      <c r="P8" s="29" t="s">
        <v>458</v>
      </c>
      <c r="Q8" s="29" t="s">
        <v>459</v>
      </c>
      <c r="R8" s="29" t="s">
        <v>460</v>
      </c>
      <c r="S8" s="29" t="s">
        <v>431</v>
      </c>
      <c r="T8" s="29" t="str">
        <f>'WBS'!J15</f>
        <v>Not Started</v>
      </c>
      <c r="U8" s="29" t="s">
        <v>432</v>
      </c>
    </row>
    <row r="9" spans="1:21" ht="62.25" customHeight="1">
      <c r="A9" s="35" t="s">
        <v>112</v>
      </c>
      <c r="B9" s="27" t="s">
        <v>11</v>
      </c>
      <c r="C9" s="27" t="s">
        <v>113</v>
      </c>
      <c r="D9" s="28">
        <v>46324</v>
      </c>
      <c r="E9" s="28">
        <v>46324</v>
      </c>
      <c r="F9" s="27" t="s">
        <v>433</v>
      </c>
      <c r="G9" s="27">
        <v>0.5</v>
      </c>
      <c r="H9" s="27" t="s">
        <v>110</v>
      </c>
      <c r="I9" s="27" t="s">
        <v>461</v>
      </c>
      <c r="J9" s="27" t="s">
        <v>462</v>
      </c>
      <c r="K9" s="27" t="s">
        <v>463</v>
      </c>
      <c r="L9" s="27" t="s">
        <v>464</v>
      </c>
      <c r="M9" s="27" t="s">
        <v>426</v>
      </c>
      <c r="N9" s="27" t="s">
        <v>465</v>
      </c>
      <c r="O9" s="27" t="s">
        <v>228</v>
      </c>
      <c r="Q9" s="27" t="s">
        <v>466</v>
      </c>
      <c r="R9" s="27" t="s">
        <v>467</v>
      </c>
      <c r="S9" s="27" t="s">
        <v>10</v>
      </c>
      <c r="T9" s="27" t="str">
        <f>'WBS'!J16</f>
        <v>Not Started</v>
      </c>
      <c r="U9" s="27" t="s">
        <v>432</v>
      </c>
    </row>
    <row r="10" spans="1:21" ht="45.75" customHeight="1">
      <c r="A10" s="36" t="s">
        <v>231</v>
      </c>
      <c r="B10" s="29" t="s">
        <v>11</v>
      </c>
      <c r="C10" s="29" t="s">
        <v>232</v>
      </c>
      <c r="D10" s="30">
        <v>46325</v>
      </c>
      <c r="E10" s="30">
        <v>46325</v>
      </c>
      <c r="F10" s="29" t="s">
        <v>421</v>
      </c>
      <c r="G10" s="29">
        <v>1</v>
      </c>
      <c r="H10" s="29" t="s">
        <v>110</v>
      </c>
      <c r="I10" s="29" t="s">
        <v>468</v>
      </c>
      <c r="J10" s="29" t="s">
        <v>469</v>
      </c>
      <c r="K10" s="29" t="s">
        <v>470</v>
      </c>
      <c r="L10" s="29" t="s">
        <v>471</v>
      </c>
      <c r="M10" s="29" t="s">
        <v>426</v>
      </c>
      <c r="N10" s="29" t="s">
        <v>472</v>
      </c>
      <c r="O10" s="29" t="s">
        <v>473</v>
      </c>
      <c r="Q10" s="29" t="s">
        <v>474</v>
      </c>
      <c r="R10" s="29" t="s">
        <v>475</v>
      </c>
      <c r="S10" s="29" t="s">
        <v>476</v>
      </c>
      <c r="T10" s="29" t="str">
        <f>'WBS'!J17</f>
        <v>Contingency</v>
      </c>
      <c r="U10" s="29" t="s">
        <v>432</v>
      </c>
    </row>
    <row r="11" spans="1:21" ht="62.25" customHeight="1">
      <c r="A11" s="35" t="s">
        <v>235</v>
      </c>
      <c r="B11" s="27" t="s">
        <v>16</v>
      </c>
      <c r="C11" s="27" t="s">
        <v>236</v>
      </c>
      <c r="D11" s="28">
        <v>46328</v>
      </c>
      <c r="E11" s="28">
        <v>46328</v>
      </c>
      <c r="F11" s="27" t="s">
        <v>421</v>
      </c>
      <c r="G11" s="27">
        <v>0.5</v>
      </c>
      <c r="H11" s="27" t="s">
        <v>110</v>
      </c>
      <c r="I11" s="27" t="s">
        <v>477</v>
      </c>
      <c r="J11" s="27" t="s">
        <v>478</v>
      </c>
      <c r="K11" s="27" t="s">
        <v>479</v>
      </c>
      <c r="L11" s="27" t="s">
        <v>480</v>
      </c>
      <c r="M11" s="27" t="s">
        <v>481</v>
      </c>
      <c r="N11" s="27" t="s">
        <v>482</v>
      </c>
      <c r="O11" s="27" t="s">
        <v>112</v>
      </c>
      <c r="P11" s="27" t="s">
        <v>483</v>
      </c>
      <c r="Q11" s="27" t="s">
        <v>484</v>
      </c>
      <c r="R11" s="27" t="s">
        <v>485</v>
      </c>
      <c r="S11" s="27" t="s">
        <v>431</v>
      </c>
      <c r="T11" s="27" t="str">
        <f>'WBS'!J19</f>
        <v>Not Started</v>
      </c>
      <c r="U11" s="27" t="s">
        <v>432</v>
      </c>
    </row>
    <row r="12" spans="1:21" ht="45.75" customHeight="1">
      <c r="A12" s="36" t="s">
        <v>238</v>
      </c>
      <c r="B12" s="29" t="s">
        <v>16</v>
      </c>
      <c r="C12" s="29" t="s">
        <v>239</v>
      </c>
      <c r="D12" s="30">
        <v>46328</v>
      </c>
      <c r="E12" s="30">
        <v>46329</v>
      </c>
      <c r="F12" s="29" t="s">
        <v>433</v>
      </c>
      <c r="G12" s="29">
        <v>1</v>
      </c>
      <c r="H12" s="29" t="s">
        <v>110</v>
      </c>
      <c r="I12" s="29" t="s">
        <v>477</v>
      </c>
      <c r="J12" s="29" t="s">
        <v>486</v>
      </c>
      <c r="K12" s="29" t="s">
        <v>487</v>
      </c>
      <c r="L12" s="29" t="s">
        <v>488</v>
      </c>
      <c r="M12" s="29" t="s">
        <v>481</v>
      </c>
      <c r="N12" s="29" t="s">
        <v>489</v>
      </c>
      <c r="O12" s="29" t="s">
        <v>235</v>
      </c>
      <c r="P12" s="29" t="s">
        <v>490</v>
      </c>
      <c r="Q12" s="29" t="s">
        <v>491</v>
      </c>
      <c r="R12" s="29" t="s">
        <v>492</v>
      </c>
      <c r="S12" s="29" t="s">
        <v>431</v>
      </c>
      <c r="T12" s="29" t="str">
        <f>'WBS'!J20</f>
        <v>Not Started</v>
      </c>
      <c r="U12" s="29" t="s">
        <v>432</v>
      </c>
    </row>
    <row r="13" spans="1:21" ht="62.25" customHeight="1">
      <c r="A13" s="35" t="s">
        <v>241</v>
      </c>
      <c r="B13" s="27" t="s">
        <v>16</v>
      </c>
      <c r="C13" s="27" t="s">
        <v>242</v>
      </c>
      <c r="D13" s="28">
        <v>46329</v>
      </c>
      <c r="E13" s="28">
        <v>46330</v>
      </c>
      <c r="F13" s="27" t="s">
        <v>433</v>
      </c>
      <c r="G13" s="27">
        <v>1</v>
      </c>
      <c r="H13" s="27" t="s">
        <v>110</v>
      </c>
      <c r="I13" s="27" t="s">
        <v>493</v>
      </c>
      <c r="J13" s="27" t="s">
        <v>494</v>
      </c>
      <c r="K13" s="27" t="s">
        <v>495</v>
      </c>
      <c r="L13" s="27" t="s">
        <v>496</v>
      </c>
      <c r="M13" s="27" t="s">
        <v>163</v>
      </c>
      <c r="N13" s="27" t="s">
        <v>497</v>
      </c>
      <c r="O13" s="27" t="s">
        <v>238</v>
      </c>
      <c r="P13" s="27" t="s">
        <v>498</v>
      </c>
      <c r="Q13" s="27" t="s">
        <v>499</v>
      </c>
      <c r="R13" s="27" t="s">
        <v>500</v>
      </c>
      <c r="S13" s="27" t="s">
        <v>431</v>
      </c>
      <c r="T13" s="27" t="str">
        <f>'WBS'!J21</f>
        <v>Not Started</v>
      </c>
      <c r="U13" s="27" t="s">
        <v>432</v>
      </c>
    </row>
    <row r="14" spans="1:21" ht="62.25" customHeight="1">
      <c r="A14" s="36" t="s">
        <v>244</v>
      </c>
      <c r="B14" s="29" t="s">
        <v>16</v>
      </c>
      <c r="C14" s="29" t="s">
        <v>245</v>
      </c>
      <c r="D14" s="30">
        <v>46330</v>
      </c>
      <c r="E14" s="30">
        <v>46331</v>
      </c>
      <c r="F14" s="29" t="s">
        <v>433</v>
      </c>
      <c r="G14" s="29">
        <v>1</v>
      </c>
      <c r="H14" s="29" t="s">
        <v>110</v>
      </c>
      <c r="I14" s="29" t="s">
        <v>501</v>
      </c>
      <c r="J14" s="29" t="s">
        <v>502</v>
      </c>
      <c r="K14" s="29" t="s">
        <v>503</v>
      </c>
      <c r="L14" s="29" t="s">
        <v>504</v>
      </c>
      <c r="M14" s="29" t="s">
        <v>505</v>
      </c>
      <c r="N14" s="29" t="s">
        <v>506</v>
      </c>
      <c r="O14" s="29" t="s">
        <v>241</v>
      </c>
      <c r="P14" s="29" t="s">
        <v>507</v>
      </c>
      <c r="Q14" s="29" t="s">
        <v>508</v>
      </c>
      <c r="R14" s="29" t="s">
        <v>509</v>
      </c>
      <c r="S14" s="29" t="s">
        <v>431</v>
      </c>
      <c r="T14" s="29" t="str">
        <f>'WBS'!J22</f>
        <v>Not Started</v>
      </c>
      <c r="U14" s="29" t="s">
        <v>432</v>
      </c>
    </row>
    <row r="15" spans="1:21" ht="62.25" customHeight="1">
      <c r="A15" s="35" t="s">
        <v>116</v>
      </c>
      <c r="B15" s="27" t="s">
        <v>16</v>
      </c>
      <c r="C15" s="27" t="s">
        <v>117</v>
      </c>
      <c r="D15" s="28">
        <v>46331</v>
      </c>
      <c r="E15" s="28">
        <v>46331</v>
      </c>
      <c r="F15" s="27" t="s">
        <v>433</v>
      </c>
      <c r="G15" s="27">
        <v>0.5</v>
      </c>
      <c r="H15" s="27" t="s">
        <v>110</v>
      </c>
      <c r="I15" s="27" t="s">
        <v>461</v>
      </c>
      <c r="J15" s="27" t="s">
        <v>510</v>
      </c>
      <c r="K15" s="27" t="s">
        <v>463</v>
      </c>
      <c r="L15" s="27" t="s">
        <v>511</v>
      </c>
      <c r="M15" s="27" t="s">
        <v>426</v>
      </c>
      <c r="N15" s="27" t="s">
        <v>465</v>
      </c>
      <c r="O15" s="27" t="s">
        <v>244</v>
      </c>
      <c r="Q15" s="27" t="s">
        <v>512</v>
      </c>
      <c r="R15" s="27" t="s">
        <v>513</v>
      </c>
      <c r="S15" s="27" t="s">
        <v>10</v>
      </c>
      <c r="T15" s="27" t="str">
        <f>'WBS'!J23</f>
        <v>Not Started</v>
      </c>
      <c r="U15" s="27" t="s">
        <v>432</v>
      </c>
    </row>
    <row r="16" spans="1:21" ht="45.75" customHeight="1">
      <c r="A16" s="36" t="s">
        <v>247</v>
      </c>
      <c r="B16" s="29" t="s">
        <v>16</v>
      </c>
      <c r="C16" s="29" t="s">
        <v>232</v>
      </c>
      <c r="D16" s="30">
        <v>46332</v>
      </c>
      <c r="E16" s="30">
        <v>46332</v>
      </c>
      <c r="F16" s="29" t="s">
        <v>421</v>
      </c>
      <c r="G16" s="29">
        <v>1</v>
      </c>
      <c r="H16" s="29" t="s">
        <v>110</v>
      </c>
      <c r="I16" s="29" t="s">
        <v>468</v>
      </c>
      <c r="J16" s="29" t="s">
        <v>469</v>
      </c>
      <c r="K16" s="29" t="s">
        <v>470</v>
      </c>
      <c r="L16" s="29" t="s">
        <v>471</v>
      </c>
      <c r="M16" s="29" t="s">
        <v>426</v>
      </c>
      <c r="N16" s="29" t="s">
        <v>472</v>
      </c>
      <c r="O16" s="29" t="s">
        <v>473</v>
      </c>
      <c r="Q16" s="29" t="s">
        <v>474</v>
      </c>
      <c r="R16" s="29" t="s">
        <v>475</v>
      </c>
      <c r="S16" s="29" t="s">
        <v>476</v>
      </c>
      <c r="T16" s="29" t="str">
        <f>'WBS'!J24</f>
        <v>Contingency</v>
      </c>
      <c r="U16" s="29" t="s">
        <v>432</v>
      </c>
    </row>
    <row r="17" spans="1:21" ht="62.25" customHeight="1">
      <c r="A17" s="35" t="s">
        <v>248</v>
      </c>
      <c r="B17" s="27" t="s">
        <v>21</v>
      </c>
      <c r="C17" s="27" t="s">
        <v>249</v>
      </c>
      <c r="D17" s="28">
        <v>46335</v>
      </c>
      <c r="E17" s="28">
        <v>46336</v>
      </c>
      <c r="F17" s="27" t="s">
        <v>421</v>
      </c>
      <c r="G17" s="27">
        <v>1.5</v>
      </c>
      <c r="H17" s="27" t="s">
        <v>110</v>
      </c>
      <c r="I17" s="27" t="s">
        <v>514</v>
      </c>
      <c r="J17" s="27" t="s">
        <v>515</v>
      </c>
      <c r="K17" s="27" t="s">
        <v>516</v>
      </c>
      <c r="L17" s="27" t="s">
        <v>517</v>
      </c>
      <c r="M17" s="27" t="s">
        <v>518</v>
      </c>
      <c r="N17" s="27" t="s">
        <v>519</v>
      </c>
      <c r="O17" s="27" t="s">
        <v>116</v>
      </c>
      <c r="P17" s="27" t="s">
        <v>520</v>
      </c>
      <c r="Q17" s="27" t="s">
        <v>521</v>
      </c>
      <c r="R17" s="27" t="s">
        <v>522</v>
      </c>
      <c r="S17" s="27" t="s">
        <v>431</v>
      </c>
      <c r="T17" s="27" t="str">
        <f>'WBS'!J26</f>
        <v>Not Started</v>
      </c>
      <c r="U17" s="27" t="s">
        <v>432</v>
      </c>
    </row>
    <row r="18" spans="1:21" ht="45.75" customHeight="1">
      <c r="A18" s="36" t="s">
        <v>251</v>
      </c>
      <c r="B18" s="29" t="s">
        <v>21</v>
      </c>
      <c r="C18" s="29" t="s">
        <v>252</v>
      </c>
      <c r="D18" s="30">
        <v>46336</v>
      </c>
      <c r="E18" s="30">
        <v>46337</v>
      </c>
      <c r="F18" s="29" t="s">
        <v>433</v>
      </c>
      <c r="G18" s="29">
        <v>1</v>
      </c>
      <c r="H18" s="29" t="s">
        <v>110</v>
      </c>
      <c r="I18" s="29" t="s">
        <v>523</v>
      </c>
      <c r="J18" s="29" t="s">
        <v>524</v>
      </c>
      <c r="K18" s="29" t="s">
        <v>525</v>
      </c>
      <c r="L18" s="29" t="s">
        <v>526</v>
      </c>
      <c r="M18" s="29" t="s">
        <v>518</v>
      </c>
      <c r="N18" s="29" t="s">
        <v>527</v>
      </c>
      <c r="O18" s="29" t="s">
        <v>248</v>
      </c>
      <c r="P18" s="29" t="s">
        <v>507</v>
      </c>
      <c r="Q18" s="29" t="s">
        <v>528</v>
      </c>
      <c r="R18" s="29" t="s">
        <v>529</v>
      </c>
      <c r="S18" s="29" t="s">
        <v>431</v>
      </c>
      <c r="T18" s="29" t="str">
        <f>'WBS'!J27</f>
        <v>Not Started</v>
      </c>
      <c r="U18" s="29" t="s">
        <v>432</v>
      </c>
    </row>
    <row r="19" spans="1:21" ht="45.75" customHeight="1">
      <c r="A19" s="35" t="s">
        <v>254</v>
      </c>
      <c r="B19" s="27" t="s">
        <v>21</v>
      </c>
      <c r="C19" s="27" t="s">
        <v>255</v>
      </c>
      <c r="D19" s="28">
        <v>46337</v>
      </c>
      <c r="E19" s="28">
        <v>46337</v>
      </c>
      <c r="F19" s="27" t="s">
        <v>433</v>
      </c>
      <c r="G19" s="27">
        <v>0.5</v>
      </c>
      <c r="H19" s="27" t="s">
        <v>110</v>
      </c>
      <c r="I19" s="27" t="s">
        <v>530</v>
      </c>
      <c r="J19" s="27" t="s">
        <v>531</v>
      </c>
      <c r="K19" s="27" t="s">
        <v>532</v>
      </c>
      <c r="L19" s="27" t="s">
        <v>533</v>
      </c>
      <c r="M19" s="27" t="s">
        <v>518</v>
      </c>
      <c r="N19" s="27" t="s">
        <v>534</v>
      </c>
      <c r="O19" s="27" t="s">
        <v>251</v>
      </c>
      <c r="P19" s="27" t="s">
        <v>535</v>
      </c>
      <c r="Q19" s="27" t="s">
        <v>536</v>
      </c>
      <c r="R19" s="27" t="s">
        <v>537</v>
      </c>
      <c r="S19" s="27" t="s">
        <v>431</v>
      </c>
      <c r="T19" s="27" t="str">
        <f>'WBS'!J28</f>
        <v>Not Started</v>
      </c>
      <c r="U19" s="27" t="s">
        <v>432</v>
      </c>
    </row>
    <row r="20" spans="1:21" ht="62.25" customHeight="1">
      <c r="A20" s="36" t="s">
        <v>257</v>
      </c>
      <c r="B20" s="29" t="s">
        <v>21</v>
      </c>
      <c r="C20" s="29" t="s">
        <v>258</v>
      </c>
      <c r="D20" s="30">
        <v>46338</v>
      </c>
      <c r="E20" s="30">
        <v>46338</v>
      </c>
      <c r="F20" s="29" t="s">
        <v>421</v>
      </c>
      <c r="G20" s="29">
        <v>1</v>
      </c>
      <c r="H20" s="29" t="s">
        <v>110</v>
      </c>
      <c r="I20" s="29" t="s">
        <v>538</v>
      </c>
      <c r="J20" s="29" t="s">
        <v>539</v>
      </c>
      <c r="K20" s="29" t="s">
        <v>540</v>
      </c>
      <c r="L20" s="29" t="s">
        <v>541</v>
      </c>
      <c r="M20" s="29" t="s">
        <v>542</v>
      </c>
      <c r="N20" s="29" t="s">
        <v>543</v>
      </c>
      <c r="O20" s="29" t="s">
        <v>254</v>
      </c>
      <c r="P20" s="29" t="s">
        <v>544</v>
      </c>
      <c r="Q20" s="29" t="s">
        <v>545</v>
      </c>
      <c r="R20" s="29" t="s">
        <v>546</v>
      </c>
      <c r="S20" s="29" t="s">
        <v>431</v>
      </c>
      <c r="T20" s="29" t="str">
        <f>'WBS'!J29</f>
        <v>Not Started</v>
      </c>
      <c r="U20" s="29" t="s">
        <v>432</v>
      </c>
    </row>
    <row r="21" spans="1:21" ht="62.25" customHeight="1">
      <c r="A21" s="35" t="s">
        <v>260</v>
      </c>
      <c r="B21" s="27" t="s">
        <v>21</v>
      </c>
      <c r="C21" s="27" t="s">
        <v>261</v>
      </c>
      <c r="D21" s="28">
        <v>46339</v>
      </c>
      <c r="E21" s="28">
        <v>46342</v>
      </c>
      <c r="F21" s="27" t="s">
        <v>421</v>
      </c>
      <c r="G21" s="27">
        <v>1.5</v>
      </c>
      <c r="H21" s="27" t="s">
        <v>110</v>
      </c>
      <c r="I21" s="27" t="s">
        <v>547</v>
      </c>
      <c r="J21" s="27" t="s">
        <v>548</v>
      </c>
      <c r="K21" s="27" t="s">
        <v>549</v>
      </c>
      <c r="L21" s="27" t="s">
        <v>550</v>
      </c>
      <c r="M21" s="27" t="s">
        <v>551</v>
      </c>
      <c r="N21" s="27" t="s">
        <v>552</v>
      </c>
      <c r="O21" s="27" t="s">
        <v>257</v>
      </c>
      <c r="P21" s="27" t="s">
        <v>440</v>
      </c>
      <c r="Q21" s="27" t="s">
        <v>553</v>
      </c>
      <c r="R21" s="27" t="s">
        <v>554</v>
      </c>
      <c r="S21" s="27" t="s">
        <v>431</v>
      </c>
      <c r="T21" s="27" t="str">
        <f>'WBS'!J30</f>
        <v>Not Started</v>
      </c>
      <c r="U21" s="27" t="s">
        <v>432</v>
      </c>
    </row>
    <row r="22" spans="1:21" ht="62.25" customHeight="1">
      <c r="A22" s="36" t="s">
        <v>263</v>
      </c>
      <c r="B22" s="29" t="s">
        <v>21</v>
      </c>
      <c r="C22" s="29" t="s">
        <v>264</v>
      </c>
      <c r="D22" s="30">
        <v>46342</v>
      </c>
      <c r="E22" s="30">
        <v>46343</v>
      </c>
      <c r="F22" s="29" t="s">
        <v>433</v>
      </c>
      <c r="G22" s="29">
        <v>1.5</v>
      </c>
      <c r="H22" s="29" t="s">
        <v>110</v>
      </c>
      <c r="I22" s="29" t="s">
        <v>555</v>
      </c>
      <c r="J22" s="29" t="s">
        <v>556</v>
      </c>
      <c r="K22" s="29" t="s">
        <v>557</v>
      </c>
      <c r="L22" s="29" t="s">
        <v>558</v>
      </c>
      <c r="M22" s="29" t="s">
        <v>551</v>
      </c>
      <c r="N22" s="29" t="s">
        <v>559</v>
      </c>
      <c r="O22" s="29" t="s">
        <v>260</v>
      </c>
      <c r="P22" s="29" t="s">
        <v>440</v>
      </c>
      <c r="Q22" s="29" t="s">
        <v>560</v>
      </c>
      <c r="R22" s="29" t="s">
        <v>561</v>
      </c>
      <c r="S22" s="29" t="s">
        <v>431</v>
      </c>
      <c r="T22" s="29" t="str">
        <f>'WBS'!J31</f>
        <v>Not Started</v>
      </c>
      <c r="U22" s="29" t="s">
        <v>432</v>
      </c>
    </row>
    <row r="23" spans="1:21" ht="45.75" customHeight="1">
      <c r="A23" s="35" t="s">
        <v>266</v>
      </c>
      <c r="B23" s="27" t="s">
        <v>21</v>
      </c>
      <c r="C23" s="27" t="s">
        <v>267</v>
      </c>
      <c r="D23" s="28">
        <v>46344</v>
      </c>
      <c r="E23" s="28">
        <v>46344</v>
      </c>
      <c r="F23" s="27" t="s">
        <v>421</v>
      </c>
      <c r="G23" s="27">
        <v>0.5</v>
      </c>
      <c r="H23" s="27" t="s">
        <v>110</v>
      </c>
      <c r="I23" s="27" t="s">
        <v>562</v>
      </c>
      <c r="J23" s="27" t="s">
        <v>563</v>
      </c>
      <c r="K23" s="27" t="s">
        <v>564</v>
      </c>
      <c r="L23" s="27" t="s">
        <v>565</v>
      </c>
      <c r="M23" s="27" t="s">
        <v>426</v>
      </c>
      <c r="N23" s="27" t="s">
        <v>566</v>
      </c>
      <c r="O23" s="27" t="s">
        <v>263</v>
      </c>
      <c r="P23" s="27" t="s">
        <v>567</v>
      </c>
      <c r="Q23" s="27" t="s">
        <v>568</v>
      </c>
      <c r="R23" s="27" t="s">
        <v>569</v>
      </c>
      <c r="S23" s="27" t="s">
        <v>431</v>
      </c>
      <c r="T23" s="27" t="str">
        <f>'WBS'!J32</f>
        <v>Not Started</v>
      </c>
      <c r="U23" s="27" t="s">
        <v>432</v>
      </c>
    </row>
    <row r="24" spans="1:21" ht="62.25" customHeight="1">
      <c r="A24" s="36" t="s">
        <v>269</v>
      </c>
      <c r="B24" s="29" t="s">
        <v>21</v>
      </c>
      <c r="C24" s="29" t="s">
        <v>270</v>
      </c>
      <c r="D24" s="30">
        <v>46344</v>
      </c>
      <c r="E24" s="30">
        <v>46345</v>
      </c>
      <c r="F24" s="29" t="s">
        <v>433</v>
      </c>
      <c r="G24" s="29">
        <v>1</v>
      </c>
      <c r="H24" s="29" t="s">
        <v>110</v>
      </c>
      <c r="I24" s="29" t="s">
        <v>570</v>
      </c>
      <c r="J24" s="29" t="s">
        <v>571</v>
      </c>
      <c r="K24" s="29" t="s">
        <v>572</v>
      </c>
      <c r="L24" s="29" t="s">
        <v>573</v>
      </c>
      <c r="M24" s="29" t="s">
        <v>155</v>
      </c>
      <c r="N24" s="29" t="s">
        <v>574</v>
      </c>
      <c r="O24" s="29" t="s">
        <v>266</v>
      </c>
      <c r="P24" s="29" t="s">
        <v>507</v>
      </c>
      <c r="Q24" s="29" t="s">
        <v>575</v>
      </c>
      <c r="R24" s="29" t="s">
        <v>576</v>
      </c>
      <c r="S24" s="29" t="s">
        <v>431</v>
      </c>
      <c r="T24" s="29" t="str">
        <f>'WBS'!J33</f>
        <v>Not Started</v>
      </c>
      <c r="U24" s="29" t="s">
        <v>432</v>
      </c>
    </row>
    <row r="25" spans="1:21" ht="62.25" customHeight="1">
      <c r="A25" s="35" t="s">
        <v>119</v>
      </c>
      <c r="B25" s="27" t="s">
        <v>21</v>
      </c>
      <c r="C25" s="27" t="s">
        <v>120</v>
      </c>
      <c r="D25" s="28">
        <v>46345</v>
      </c>
      <c r="E25" s="28">
        <v>46345</v>
      </c>
      <c r="F25" s="27" t="s">
        <v>433</v>
      </c>
      <c r="G25" s="27">
        <v>0.5</v>
      </c>
      <c r="H25" s="27" t="s">
        <v>110</v>
      </c>
      <c r="I25" s="27" t="s">
        <v>461</v>
      </c>
      <c r="J25" s="27" t="s">
        <v>577</v>
      </c>
      <c r="K25" s="27" t="s">
        <v>463</v>
      </c>
      <c r="L25" s="27" t="s">
        <v>578</v>
      </c>
      <c r="M25" s="27" t="s">
        <v>426</v>
      </c>
      <c r="N25" s="27" t="s">
        <v>465</v>
      </c>
      <c r="O25" s="27" t="s">
        <v>269</v>
      </c>
      <c r="Q25" s="27" t="s">
        <v>579</v>
      </c>
      <c r="R25" s="27" t="s">
        <v>580</v>
      </c>
      <c r="S25" s="27" t="s">
        <v>10</v>
      </c>
      <c r="T25" s="27" t="str">
        <f>'WBS'!J34</f>
        <v>Not Started</v>
      </c>
      <c r="U25" s="27" t="s">
        <v>432</v>
      </c>
    </row>
    <row r="26" spans="1:21" ht="45.75" customHeight="1">
      <c r="A26" s="36" t="s">
        <v>272</v>
      </c>
      <c r="B26" s="29" t="s">
        <v>21</v>
      </c>
      <c r="C26" s="29" t="s">
        <v>232</v>
      </c>
      <c r="D26" s="30">
        <v>46346</v>
      </c>
      <c r="E26" s="30">
        <v>46346</v>
      </c>
      <c r="F26" s="29" t="s">
        <v>421</v>
      </c>
      <c r="G26" s="29">
        <v>1</v>
      </c>
      <c r="H26" s="29" t="s">
        <v>110</v>
      </c>
      <c r="I26" s="29" t="s">
        <v>468</v>
      </c>
      <c r="J26" s="29" t="s">
        <v>469</v>
      </c>
      <c r="K26" s="29" t="s">
        <v>470</v>
      </c>
      <c r="L26" s="29" t="s">
        <v>471</v>
      </c>
      <c r="M26" s="29" t="s">
        <v>426</v>
      </c>
      <c r="N26" s="29" t="s">
        <v>472</v>
      </c>
      <c r="O26" s="29" t="s">
        <v>473</v>
      </c>
      <c r="Q26" s="29" t="s">
        <v>474</v>
      </c>
      <c r="R26" s="29" t="s">
        <v>475</v>
      </c>
      <c r="S26" s="29" t="s">
        <v>476</v>
      </c>
      <c r="T26" s="29" t="str">
        <f>'WBS'!J35</f>
        <v>Contingency</v>
      </c>
      <c r="U26" s="29" t="s">
        <v>432</v>
      </c>
    </row>
    <row r="27" spans="1:21" ht="62.25" customHeight="1">
      <c r="A27" s="35" t="s">
        <v>273</v>
      </c>
      <c r="B27" s="27" t="s">
        <v>26</v>
      </c>
      <c r="C27" s="27" t="s">
        <v>274</v>
      </c>
      <c r="D27" s="28">
        <v>46349</v>
      </c>
      <c r="E27" s="28">
        <v>46349</v>
      </c>
      <c r="F27" s="27" t="s">
        <v>421</v>
      </c>
      <c r="G27" s="27">
        <v>1</v>
      </c>
      <c r="H27" s="27" t="s">
        <v>110</v>
      </c>
      <c r="I27" s="27" t="s">
        <v>493</v>
      </c>
      <c r="J27" s="27" t="s">
        <v>581</v>
      </c>
      <c r="K27" s="27" t="s">
        <v>582</v>
      </c>
      <c r="L27" s="27" t="s">
        <v>583</v>
      </c>
      <c r="M27" s="27" t="s">
        <v>584</v>
      </c>
      <c r="N27" s="27" t="s">
        <v>585</v>
      </c>
      <c r="O27" s="27" t="s">
        <v>119</v>
      </c>
      <c r="P27" s="27" t="s">
        <v>586</v>
      </c>
      <c r="Q27" s="27" t="s">
        <v>587</v>
      </c>
      <c r="R27" s="27" t="s">
        <v>588</v>
      </c>
      <c r="S27" s="27" t="s">
        <v>431</v>
      </c>
      <c r="T27" s="27" t="str">
        <f>'WBS'!J37</f>
        <v>Not Started</v>
      </c>
      <c r="U27" s="27" t="s">
        <v>432</v>
      </c>
    </row>
    <row r="28" spans="1:21" ht="62.25" customHeight="1">
      <c r="A28" s="36" t="s">
        <v>276</v>
      </c>
      <c r="B28" s="29" t="s">
        <v>26</v>
      </c>
      <c r="C28" s="29" t="s">
        <v>277</v>
      </c>
      <c r="D28" s="30">
        <v>46350</v>
      </c>
      <c r="E28" s="30">
        <v>46350</v>
      </c>
      <c r="F28" s="29" t="s">
        <v>421</v>
      </c>
      <c r="G28" s="29">
        <v>1</v>
      </c>
      <c r="H28" s="29" t="s">
        <v>110</v>
      </c>
      <c r="I28" s="29" t="s">
        <v>547</v>
      </c>
      <c r="J28" s="29" t="s">
        <v>589</v>
      </c>
      <c r="K28" s="29" t="s">
        <v>590</v>
      </c>
      <c r="L28" s="29" t="s">
        <v>591</v>
      </c>
      <c r="M28" s="29" t="s">
        <v>592</v>
      </c>
      <c r="N28" s="29" t="s">
        <v>593</v>
      </c>
      <c r="O28" s="29" t="s">
        <v>273</v>
      </c>
      <c r="P28" s="29" t="s">
        <v>594</v>
      </c>
      <c r="Q28" s="29" t="s">
        <v>595</v>
      </c>
      <c r="R28" s="29" t="s">
        <v>596</v>
      </c>
      <c r="S28" s="29" t="s">
        <v>431</v>
      </c>
      <c r="T28" s="29" t="str">
        <f>'WBS'!J38</f>
        <v>Not Started</v>
      </c>
      <c r="U28" s="29" t="s">
        <v>432</v>
      </c>
    </row>
    <row r="29" spans="1:21" ht="62.25" customHeight="1">
      <c r="A29" s="35" t="s">
        <v>279</v>
      </c>
      <c r="B29" s="27" t="s">
        <v>26</v>
      </c>
      <c r="C29" s="27" t="s">
        <v>280</v>
      </c>
      <c r="D29" s="28">
        <v>46351</v>
      </c>
      <c r="E29" s="28">
        <v>46351</v>
      </c>
      <c r="F29" s="27" t="s">
        <v>421</v>
      </c>
      <c r="G29" s="27">
        <v>1</v>
      </c>
      <c r="H29" s="27" t="s">
        <v>110</v>
      </c>
      <c r="I29" s="27" t="s">
        <v>547</v>
      </c>
      <c r="J29" s="27" t="s">
        <v>597</v>
      </c>
      <c r="K29" s="27" t="s">
        <v>598</v>
      </c>
      <c r="L29" s="27" t="s">
        <v>599</v>
      </c>
      <c r="M29" s="27" t="s">
        <v>600</v>
      </c>
      <c r="N29" s="27" t="s">
        <v>601</v>
      </c>
      <c r="O29" s="27" t="s">
        <v>276</v>
      </c>
      <c r="P29" s="27" t="s">
        <v>602</v>
      </c>
      <c r="Q29" s="27" t="s">
        <v>603</v>
      </c>
      <c r="R29" s="27" t="s">
        <v>604</v>
      </c>
      <c r="S29" s="27" t="s">
        <v>431</v>
      </c>
      <c r="T29" s="27" t="str">
        <f>'WBS'!J39</f>
        <v>Not Started</v>
      </c>
      <c r="U29" s="27" t="s">
        <v>432</v>
      </c>
    </row>
    <row r="30" spans="1:21" ht="62.25" customHeight="1">
      <c r="A30" s="36" t="s">
        <v>282</v>
      </c>
      <c r="B30" s="29" t="s">
        <v>26</v>
      </c>
      <c r="C30" s="29" t="s">
        <v>283</v>
      </c>
      <c r="D30" s="30">
        <v>46352</v>
      </c>
      <c r="E30" s="30">
        <v>46353</v>
      </c>
      <c r="F30" s="29" t="s">
        <v>421</v>
      </c>
      <c r="G30" s="29">
        <v>1.5</v>
      </c>
      <c r="H30" s="29" t="s">
        <v>110</v>
      </c>
      <c r="I30" s="29" t="s">
        <v>605</v>
      </c>
      <c r="J30" s="29" t="s">
        <v>606</v>
      </c>
      <c r="K30" s="29" t="s">
        <v>607</v>
      </c>
      <c r="L30" s="29" t="s">
        <v>608</v>
      </c>
      <c r="M30" s="29" t="s">
        <v>609</v>
      </c>
      <c r="N30" s="29" t="s">
        <v>610</v>
      </c>
      <c r="O30" s="29" t="s">
        <v>279</v>
      </c>
      <c r="P30" s="29" t="s">
        <v>611</v>
      </c>
      <c r="Q30" s="29" t="s">
        <v>612</v>
      </c>
      <c r="R30" s="29" t="s">
        <v>613</v>
      </c>
      <c r="S30" s="29" t="s">
        <v>431</v>
      </c>
      <c r="T30" s="29" t="str">
        <f>'WBS'!J40</f>
        <v>Not Started</v>
      </c>
      <c r="U30" s="29" t="s">
        <v>432</v>
      </c>
    </row>
    <row r="31" spans="1:21" ht="62.25" customHeight="1">
      <c r="A31" s="35" t="s">
        <v>285</v>
      </c>
      <c r="B31" s="27" t="s">
        <v>26</v>
      </c>
      <c r="C31" s="27" t="s">
        <v>286</v>
      </c>
      <c r="D31" s="28">
        <v>46353</v>
      </c>
      <c r="E31" s="28">
        <v>46356</v>
      </c>
      <c r="F31" s="27" t="s">
        <v>433</v>
      </c>
      <c r="G31" s="27">
        <v>1.5</v>
      </c>
      <c r="H31" s="27" t="s">
        <v>110</v>
      </c>
      <c r="I31" s="27" t="s">
        <v>555</v>
      </c>
      <c r="J31" s="27" t="s">
        <v>614</v>
      </c>
      <c r="K31" s="27" t="s">
        <v>615</v>
      </c>
      <c r="L31" s="27" t="s">
        <v>616</v>
      </c>
      <c r="M31" s="27" t="s">
        <v>617</v>
      </c>
      <c r="N31" s="27" t="s">
        <v>618</v>
      </c>
      <c r="O31" s="27" t="s">
        <v>282</v>
      </c>
      <c r="P31" s="27" t="s">
        <v>619</v>
      </c>
      <c r="Q31" s="27" t="s">
        <v>620</v>
      </c>
      <c r="R31" s="27" t="s">
        <v>621</v>
      </c>
      <c r="S31" s="27" t="s">
        <v>431</v>
      </c>
      <c r="T31" s="27" t="str">
        <f>'WBS'!J41</f>
        <v>Not Started</v>
      </c>
      <c r="U31" s="27" t="s">
        <v>432</v>
      </c>
    </row>
    <row r="32" spans="1:21" ht="62.25" customHeight="1">
      <c r="A32" s="36" t="s">
        <v>288</v>
      </c>
      <c r="B32" s="29" t="s">
        <v>26</v>
      </c>
      <c r="C32" s="29" t="s">
        <v>289</v>
      </c>
      <c r="D32" s="30">
        <v>46357</v>
      </c>
      <c r="E32" s="30">
        <v>46357</v>
      </c>
      <c r="F32" s="29" t="s">
        <v>421</v>
      </c>
      <c r="G32" s="29">
        <v>1</v>
      </c>
      <c r="H32" s="29" t="s">
        <v>110</v>
      </c>
      <c r="I32" s="29" t="s">
        <v>622</v>
      </c>
      <c r="J32" s="29" t="s">
        <v>623</v>
      </c>
      <c r="K32" s="29" t="s">
        <v>624</v>
      </c>
      <c r="L32" s="29" t="s">
        <v>625</v>
      </c>
      <c r="M32" s="29" t="s">
        <v>626</v>
      </c>
      <c r="N32" s="29" t="s">
        <v>627</v>
      </c>
      <c r="O32" s="29" t="s">
        <v>285</v>
      </c>
      <c r="P32" s="29" t="s">
        <v>628</v>
      </c>
      <c r="Q32" s="29" t="s">
        <v>629</v>
      </c>
      <c r="R32" s="29" t="s">
        <v>630</v>
      </c>
      <c r="S32" s="29" t="s">
        <v>431</v>
      </c>
      <c r="T32" s="29" t="str">
        <f>'WBS'!J42</f>
        <v>Not Started</v>
      </c>
      <c r="U32" s="29" t="s">
        <v>432</v>
      </c>
    </row>
    <row r="33" spans="1:21" ht="62.25" customHeight="1">
      <c r="A33" s="35" t="s">
        <v>291</v>
      </c>
      <c r="B33" s="27" t="s">
        <v>26</v>
      </c>
      <c r="C33" s="27" t="s">
        <v>292</v>
      </c>
      <c r="D33" s="28">
        <v>46358</v>
      </c>
      <c r="E33" s="28">
        <v>46358</v>
      </c>
      <c r="F33" s="27" t="s">
        <v>421</v>
      </c>
      <c r="G33" s="27">
        <v>1</v>
      </c>
      <c r="H33" s="27" t="s">
        <v>110</v>
      </c>
      <c r="I33" s="27" t="s">
        <v>570</v>
      </c>
      <c r="J33" s="27" t="s">
        <v>631</v>
      </c>
      <c r="K33" s="27" t="s">
        <v>632</v>
      </c>
      <c r="L33" s="27" t="s">
        <v>633</v>
      </c>
      <c r="M33" s="27" t="s">
        <v>634</v>
      </c>
      <c r="N33" s="27" t="s">
        <v>635</v>
      </c>
      <c r="O33" s="27" t="s">
        <v>288</v>
      </c>
      <c r="P33" s="27" t="s">
        <v>507</v>
      </c>
      <c r="Q33" s="27" t="s">
        <v>636</v>
      </c>
      <c r="R33" s="27" t="s">
        <v>637</v>
      </c>
      <c r="S33" s="27" t="s">
        <v>431</v>
      </c>
      <c r="T33" s="27" t="str">
        <f>'WBS'!J43</f>
        <v>Not Started</v>
      </c>
      <c r="U33" s="27" t="s">
        <v>432</v>
      </c>
    </row>
    <row r="34" spans="1:21" ht="62.25" customHeight="1">
      <c r="A34" s="36" t="s">
        <v>294</v>
      </c>
      <c r="B34" s="29" t="s">
        <v>26</v>
      </c>
      <c r="C34" s="29" t="s">
        <v>295</v>
      </c>
      <c r="D34" s="30">
        <v>46359</v>
      </c>
      <c r="E34" s="30">
        <v>46359</v>
      </c>
      <c r="F34" s="29" t="s">
        <v>421</v>
      </c>
      <c r="G34" s="29">
        <v>0.5</v>
      </c>
      <c r="H34" s="29" t="s">
        <v>110</v>
      </c>
      <c r="I34" s="29" t="s">
        <v>638</v>
      </c>
      <c r="J34" s="29" t="s">
        <v>639</v>
      </c>
      <c r="K34" s="29" t="s">
        <v>640</v>
      </c>
      <c r="L34" s="29" t="s">
        <v>641</v>
      </c>
      <c r="M34" s="29" t="s">
        <v>642</v>
      </c>
      <c r="N34" s="29" t="s">
        <v>643</v>
      </c>
      <c r="O34" s="29" t="s">
        <v>291</v>
      </c>
      <c r="P34" s="29" t="s">
        <v>611</v>
      </c>
      <c r="Q34" s="29" t="s">
        <v>644</v>
      </c>
      <c r="R34" s="29" t="s">
        <v>645</v>
      </c>
      <c r="S34" s="29" t="s">
        <v>431</v>
      </c>
      <c r="T34" s="29" t="str">
        <f>'WBS'!J44</f>
        <v>Not Started</v>
      </c>
      <c r="U34" s="29" t="s">
        <v>432</v>
      </c>
    </row>
    <row r="35" spans="1:21" ht="62.25" customHeight="1">
      <c r="A35" s="35" t="s">
        <v>122</v>
      </c>
      <c r="B35" s="27" t="s">
        <v>26</v>
      </c>
      <c r="C35" s="27" t="s">
        <v>123</v>
      </c>
      <c r="D35" s="28">
        <v>46359</v>
      </c>
      <c r="E35" s="28">
        <v>46359</v>
      </c>
      <c r="F35" s="27" t="s">
        <v>433</v>
      </c>
      <c r="G35" s="27">
        <v>0.5</v>
      </c>
      <c r="H35" s="27" t="s">
        <v>110</v>
      </c>
      <c r="I35" s="27" t="s">
        <v>461</v>
      </c>
      <c r="J35" s="27" t="s">
        <v>646</v>
      </c>
      <c r="K35" s="27" t="s">
        <v>463</v>
      </c>
      <c r="L35" s="27" t="s">
        <v>647</v>
      </c>
      <c r="M35" s="27" t="s">
        <v>426</v>
      </c>
      <c r="N35" s="27" t="s">
        <v>465</v>
      </c>
      <c r="O35" s="27" t="s">
        <v>294</v>
      </c>
      <c r="Q35" s="27" t="s">
        <v>648</v>
      </c>
      <c r="R35" s="27" t="s">
        <v>649</v>
      </c>
      <c r="S35" s="27" t="s">
        <v>10</v>
      </c>
      <c r="T35" s="27" t="str">
        <f>'WBS'!J45</f>
        <v>Not Started</v>
      </c>
      <c r="U35" s="27" t="s">
        <v>432</v>
      </c>
    </row>
    <row r="36" spans="1:21" ht="45.75" customHeight="1">
      <c r="A36" s="36" t="s">
        <v>297</v>
      </c>
      <c r="B36" s="29" t="s">
        <v>26</v>
      </c>
      <c r="C36" s="29" t="s">
        <v>232</v>
      </c>
      <c r="D36" s="30">
        <v>46360</v>
      </c>
      <c r="E36" s="30">
        <v>46360</v>
      </c>
      <c r="F36" s="29" t="s">
        <v>421</v>
      </c>
      <c r="G36" s="29">
        <v>1</v>
      </c>
      <c r="H36" s="29" t="s">
        <v>110</v>
      </c>
      <c r="I36" s="29" t="s">
        <v>468</v>
      </c>
      <c r="J36" s="29" t="s">
        <v>469</v>
      </c>
      <c r="K36" s="29" t="s">
        <v>470</v>
      </c>
      <c r="L36" s="29" t="s">
        <v>471</v>
      </c>
      <c r="M36" s="29" t="s">
        <v>426</v>
      </c>
      <c r="N36" s="29" t="s">
        <v>472</v>
      </c>
      <c r="O36" s="29" t="s">
        <v>473</v>
      </c>
      <c r="Q36" s="29" t="s">
        <v>474</v>
      </c>
      <c r="R36" s="29" t="s">
        <v>475</v>
      </c>
      <c r="S36" s="29" t="s">
        <v>476</v>
      </c>
      <c r="T36" s="29" t="str">
        <f>'WBS'!J46</f>
        <v>Contingency</v>
      </c>
      <c r="U36" s="29" t="s">
        <v>432</v>
      </c>
    </row>
    <row r="37" spans="1:21" ht="62.25" customHeight="1">
      <c r="A37" s="35" t="s">
        <v>298</v>
      </c>
      <c r="B37" s="27" t="s">
        <v>31</v>
      </c>
      <c r="C37" s="27" t="s">
        <v>299</v>
      </c>
      <c r="D37" s="28">
        <v>46363</v>
      </c>
      <c r="E37" s="28">
        <v>46363</v>
      </c>
      <c r="F37" s="27" t="s">
        <v>421</v>
      </c>
      <c r="G37" s="27">
        <v>1</v>
      </c>
      <c r="H37" s="27" t="s">
        <v>110</v>
      </c>
      <c r="I37" s="27" t="s">
        <v>650</v>
      </c>
      <c r="J37" s="27" t="s">
        <v>651</v>
      </c>
      <c r="K37" s="27" t="s">
        <v>652</v>
      </c>
      <c r="L37" s="27" t="s">
        <v>653</v>
      </c>
      <c r="M37" s="27" t="s">
        <v>654</v>
      </c>
      <c r="N37" s="27" t="s">
        <v>655</v>
      </c>
      <c r="O37" s="27" t="s">
        <v>122</v>
      </c>
      <c r="P37" s="27" t="s">
        <v>656</v>
      </c>
      <c r="Q37" s="27" t="s">
        <v>657</v>
      </c>
      <c r="R37" s="27" t="s">
        <v>658</v>
      </c>
      <c r="S37" s="27" t="s">
        <v>431</v>
      </c>
      <c r="T37" s="27" t="str">
        <f>'WBS'!J48</f>
        <v>Not Started</v>
      </c>
      <c r="U37" s="27" t="s">
        <v>432</v>
      </c>
    </row>
    <row r="38" spans="1:21" ht="62.25" customHeight="1">
      <c r="A38" s="36" t="s">
        <v>301</v>
      </c>
      <c r="B38" s="29" t="s">
        <v>31</v>
      </c>
      <c r="C38" s="29" t="s">
        <v>302</v>
      </c>
      <c r="D38" s="30">
        <v>46364</v>
      </c>
      <c r="E38" s="30">
        <v>46364</v>
      </c>
      <c r="F38" s="29" t="s">
        <v>421</v>
      </c>
      <c r="G38" s="29">
        <v>1</v>
      </c>
      <c r="H38" s="29" t="s">
        <v>110</v>
      </c>
      <c r="I38" s="29" t="s">
        <v>530</v>
      </c>
      <c r="J38" s="29" t="s">
        <v>659</v>
      </c>
      <c r="K38" s="29" t="s">
        <v>660</v>
      </c>
      <c r="L38" s="29" t="s">
        <v>661</v>
      </c>
      <c r="M38" s="29" t="s">
        <v>654</v>
      </c>
      <c r="N38" s="29" t="s">
        <v>662</v>
      </c>
      <c r="O38" s="29" t="s">
        <v>298</v>
      </c>
      <c r="P38" s="29" t="s">
        <v>663</v>
      </c>
      <c r="Q38" s="29" t="s">
        <v>664</v>
      </c>
      <c r="R38" s="29" t="s">
        <v>665</v>
      </c>
      <c r="S38" s="29" t="s">
        <v>431</v>
      </c>
      <c r="T38" s="29" t="str">
        <f>'WBS'!J49</f>
        <v>Not Started</v>
      </c>
      <c r="U38" s="29" t="s">
        <v>432</v>
      </c>
    </row>
    <row r="39" spans="1:21" ht="62.25" customHeight="1">
      <c r="A39" s="35" t="s">
        <v>304</v>
      </c>
      <c r="B39" s="27" t="s">
        <v>31</v>
      </c>
      <c r="C39" s="27" t="s">
        <v>305</v>
      </c>
      <c r="D39" s="28">
        <v>46365</v>
      </c>
      <c r="E39" s="28">
        <v>46366</v>
      </c>
      <c r="F39" s="27" t="s">
        <v>421</v>
      </c>
      <c r="G39" s="27">
        <v>2</v>
      </c>
      <c r="H39" s="27" t="s">
        <v>110</v>
      </c>
      <c r="I39" s="27" t="s">
        <v>530</v>
      </c>
      <c r="J39" s="27" t="s">
        <v>666</v>
      </c>
      <c r="K39" s="27" t="s">
        <v>667</v>
      </c>
      <c r="L39" s="27" t="s">
        <v>668</v>
      </c>
      <c r="M39" s="27" t="s">
        <v>654</v>
      </c>
      <c r="N39" s="27" t="s">
        <v>669</v>
      </c>
      <c r="O39" s="27" t="s">
        <v>301</v>
      </c>
      <c r="P39" s="27" t="s">
        <v>670</v>
      </c>
      <c r="Q39" s="27" t="s">
        <v>671</v>
      </c>
      <c r="R39" s="27" t="s">
        <v>672</v>
      </c>
      <c r="S39" s="27" t="s">
        <v>431</v>
      </c>
      <c r="T39" s="27" t="str">
        <f>'WBS'!J50</f>
        <v>Not Started</v>
      </c>
      <c r="U39" s="27" t="s">
        <v>432</v>
      </c>
    </row>
    <row r="40" spans="1:21" ht="62.25" customHeight="1">
      <c r="A40" s="36" t="s">
        <v>307</v>
      </c>
      <c r="B40" s="29" t="s">
        <v>31</v>
      </c>
      <c r="C40" s="29" t="s">
        <v>308</v>
      </c>
      <c r="D40" s="30">
        <v>46367</v>
      </c>
      <c r="E40" s="30">
        <v>46367</v>
      </c>
      <c r="F40" s="29" t="s">
        <v>421</v>
      </c>
      <c r="G40" s="29">
        <v>1</v>
      </c>
      <c r="H40" s="29" t="s">
        <v>110</v>
      </c>
      <c r="I40" s="29" t="s">
        <v>523</v>
      </c>
      <c r="J40" s="29" t="s">
        <v>673</v>
      </c>
      <c r="K40" s="29" t="s">
        <v>674</v>
      </c>
      <c r="L40" s="29" t="s">
        <v>675</v>
      </c>
      <c r="M40" s="29" t="s">
        <v>654</v>
      </c>
      <c r="N40" s="29" t="s">
        <v>676</v>
      </c>
      <c r="O40" s="29" t="s">
        <v>304</v>
      </c>
      <c r="P40" s="29" t="s">
        <v>507</v>
      </c>
      <c r="Q40" s="29" t="s">
        <v>677</v>
      </c>
      <c r="R40" s="29" t="s">
        <v>678</v>
      </c>
      <c r="S40" s="29" t="s">
        <v>431</v>
      </c>
      <c r="T40" s="29" t="str">
        <f>'WBS'!J51</f>
        <v>Not Started</v>
      </c>
      <c r="U40" s="29" t="s">
        <v>432</v>
      </c>
    </row>
    <row r="41" spans="1:21" ht="62.25" customHeight="1">
      <c r="A41" s="35" t="s">
        <v>310</v>
      </c>
      <c r="B41" s="27" t="s">
        <v>31</v>
      </c>
      <c r="C41" s="27" t="s">
        <v>311</v>
      </c>
      <c r="D41" s="28">
        <v>46370</v>
      </c>
      <c r="E41" s="28">
        <v>46371</v>
      </c>
      <c r="F41" s="27" t="s">
        <v>421</v>
      </c>
      <c r="G41" s="27">
        <v>1.5</v>
      </c>
      <c r="H41" s="27" t="s">
        <v>110</v>
      </c>
      <c r="I41" s="27" t="s">
        <v>493</v>
      </c>
      <c r="J41" s="27" t="s">
        <v>679</v>
      </c>
      <c r="K41" s="27" t="s">
        <v>680</v>
      </c>
      <c r="L41" s="27" t="s">
        <v>681</v>
      </c>
      <c r="M41" s="27" t="s">
        <v>682</v>
      </c>
      <c r="N41" s="27" t="s">
        <v>683</v>
      </c>
      <c r="O41" s="27" t="s">
        <v>307</v>
      </c>
      <c r="P41" s="27" t="s">
        <v>684</v>
      </c>
      <c r="Q41" s="27" t="s">
        <v>685</v>
      </c>
      <c r="R41" s="27" t="s">
        <v>686</v>
      </c>
      <c r="S41" s="27" t="s">
        <v>431</v>
      </c>
      <c r="T41" s="27" t="str">
        <f>'WBS'!J52</f>
        <v>Not Started</v>
      </c>
      <c r="U41" s="27" t="s">
        <v>432</v>
      </c>
    </row>
    <row r="42" spans="1:21" ht="62.25" customHeight="1">
      <c r="A42" s="36" t="s">
        <v>313</v>
      </c>
      <c r="B42" s="29" t="s">
        <v>31</v>
      </c>
      <c r="C42" s="29" t="s">
        <v>314</v>
      </c>
      <c r="D42" s="30">
        <v>46371</v>
      </c>
      <c r="E42" s="30">
        <v>46372</v>
      </c>
      <c r="F42" s="29" t="s">
        <v>433</v>
      </c>
      <c r="G42" s="29">
        <v>1</v>
      </c>
      <c r="H42" s="29" t="s">
        <v>110</v>
      </c>
      <c r="I42" s="29" t="s">
        <v>514</v>
      </c>
      <c r="J42" s="29" t="s">
        <v>687</v>
      </c>
      <c r="K42" s="29" t="s">
        <v>688</v>
      </c>
      <c r="L42" s="29" t="s">
        <v>689</v>
      </c>
      <c r="M42" s="29" t="s">
        <v>690</v>
      </c>
      <c r="N42" s="29" t="s">
        <v>691</v>
      </c>
      <c r="O42" s="29" t="s">
        <v>310</v>
      </c>
      <c r="P42" s="29" t="s">
        <v>684</v>
      </c>
      <c r="Q42" s="29" t="s">
        <v>692</v>
      </c>
      <c r="R42" s="29" t="s">
        <v>693</v>
      </c>
      <c r="S42" s="29" t="s">
        <v>431</v>
      </c>
      <c r="T42" s="29" t="str">
        <f>'WBS'!J53</f>
        <v>Not Started</v>
      </c>
      <c r="U42" s="29" t="s">
        <v>432</v>
      </c>
    </row>
    <row r="43" spans="1:21" ht="62.25" customHeight="1">
      <c r="A43" s="35" t="s">
        <v>316</v>
      </c>
      <c r="B43" s="27" t="s">
        <v>31</v>
      </c>
      <c r="C43" s="27" t="s">
        <v>317</v>
      </c>
      <c r="D43" s="28">
        <v>46372</v>
      </c>
      <c r="E43" s="28">
        <v>46373</v>
      </c>
      <c r="F43" s="27" t="s">
        <v>433</v>
      </c>
      <c r="G43" s="27">
        <v>1</v>
      </c>
      <c r="H43" s="27" t="s">
        <v>110</v>
      </c>
      <c r="I43" s="27" t="s">
        <v>452</v>
      </c>
      <c r="J43" s="27" t="s">
        <v>694</v>
      </c>
      <c r="K43" s="27" t="s">
        <v>695</v>
      </c>
      <c r="L43" s="27" t="s">
        <v>696</v>
      </c>
      <c r="M43" s="27" t="s">
        <v>697</v>
      </c>
      <c r="N43" s="27" t="s">
        <v>698</v>
      </c>
      <c r="O43" s="27" t="s">
        <v>313</v>
      </c>
      <c r="P43" s="27" t="s">
        <v>699</v>
      </c>
      <c r="Q43" s="27" t="s">
        <v>700</v>
      </c>
      <c r="R43" s="27" t="s">
        <v>701</v>
      </c>
      <c r="S43" s="27" t="s">
        <v>431</v>
      </c>
      <c r="T43" s="27" t="str">
        <f>'WBS'!J54</f>
        <v>Not Started</v>
      </c>
      <c r="U43" s="27" t="s">
        <v>432</v>
      </c>
    </row>
    <row r="44" spans="1:21" ht="62.25" customHeight="1">
      <c r="A44" s="36" t="s">
        <v>125</v>
      </c>
      <c r="B44" s="29" t="s">
        <v>31</v>
      </c>
      <c r="C44" s="29" t="s">
        <v>126</v>
      </c>
      <c r="D44" s="30">
        <v>46373</v>
      </c>
      <c r="E44" s="30">
        <v>46373</v>
      </c>
      <c r="F44" s="29" t="s">
        <v>433</v>
      </c>
      <c r="G44" s="29">
        <v>0.5</v>
      </c>
      <c r="H44" s="29" t="s">
        <v>110</v>
      </c>
      <c r="I44" s="29" t="s">
        <v>461</v>
      </c>
      <c r="J44" s="29" t="s">
        <v>702</v>
      </c>
      <c r="K44" s="29" t="s">
        <v>463</v>
      </c>
      <c r="L44" s="29" t="s">
        <v>703</v>
      </c>
      <c r="M44" s="29" t="s">
        <v>426</v>
      </c>
      <c r="N44" s="29" t="s">
        <v>465</v>
      </c>
      <c r="O44" s="29" t="s">
        <v>316</v>
      </c>
      <c r="Q44" s="29" t="s">
        <v>704</v>
      </c>
      <c r="R44" s="29" t="s">
        <v>705</v>
      </c>
      <c r="S44" s="29" t="s">
        <v>10</v>
      </c>
      <c r="T44" s="29" t="str">
        <f>'WBS'!J55</f>
        <v>Not Started</v>
      </c>
      <c r="U44" s="29" t="s">
        <v>432</v>
      </c>
    </row>
    <row r="45" spans="1:21" ht="45.75" customHeight="1">
      <c r="A45" s="35" t="s">
        <v>319</v>
      </c>
      <c r="B45" s="27" t="s">
        <v>31</v>
      </c>
      <c r="C45" s="27" t="s">
        <v>232</v>
      </c>
      <c r="D45" s="28">
        <v>46374</v>
      </c>
      <c r="E45" s="28">
        <v>46374</v>
      </c>
      <c r="F45" s="27" t="s">
        <v>421</v>
      </c>
      <c r="G45" s="27">
        <v>1</v>
      </c>
      <c r="H45" s="27" t="s">
        <v>110</v>
      </c>
      <c r="I45" s="27" t="s">
        <v>468</v>
      </c>
      <c r="J45" s="27" t="s">
        <v>469</v>
      </c>
      <c r="K45" s="27" t="s">
        <v>470</v>
      </c>
      <c r="L45" s="27" t="s">
        <v>471</v>
      </c>
      <c r="M45" s="27" t="s">
        <v>426</v>
      </c>
      <c r="N45" s="27" t="s">
        <v>472</v>
      </c>
      <c r="O45" s="27" t="s">
        <v>473</v>
      </c>
      <c r="Q45" s="27" t="s">
        <v>474</v>
      </c>
      <c r="R45" s="27" t="s">
        <v>475</v>
      </c>
      <c r="S45" s="27" t="s">
        <v>476</v>
      </c>
      <c r="T45" s="27" t="str">
        <f>'WBS'!J56</f>
        <v>Contingency</v>
      </c>
      <c r="U45" s="27" t="s">
        <v>432</v>
      </c>
    </row>
    <row r="46" spans="1:21" ht="62.25" customHeight="1">
      <c r="A46" s="36" t="s">
        <v>320</v>
      </c>
      <c r="B46" s="29" t="s">
        <v>36</v>
      </c>
      <c r="C46" s="29" t="s">
        <v>321</v>
      </c>
      <c r="D46" s="30">
        <v>46377</v>
      </c>
      <c r="E46" s="30">
        <v>46377</v>
      </c>
      <c r="F46" s="29" t="s">
        <v>421</v>
      </c>
      <c r="G46" s="29">
        <v>1</v>
      </c>
      <c r="H46" s="29" t="s">
        <v>110</v>
      </c>
      <c r="I46" s="29" t="s">
        <v>622</v>
      </c>
      <c r="J46" s="29" t="s">
        <v>706</v>
      </c>
      <c r="K46" s="29" t="s">
        <v>707</v>
      </c>
      <c r="L46" s="29" t="s">
        <v>708</v>
      </c>
      <c r="M46" s="29" t="s">
        <v>709</v>
      </c>
      <c r="N46" s="29" t="s">
        <v>710</v>
      </c>
      <c r="O46" s="29" t="s">
        <v>125</v>
      </c>
      <c r="P46" s="29" t="s">
        <v>711</v>
      </c>
      <c r="Q46" s="29" t="s">
        <v>712</v>
      </c>
      <c r="R46" s="29" t="s">
        <v>713</v>
      </c>
      <c r="S46" s="29" t="s">
        <v>431</v>
      </c>
      <c r="T46" s="29" t="str">
        <f>'WBS'!J58</f>
        <v>Not Started</v>
      </c>
      <c r="U46" s="29" t="s">
        <v>432</v>
      </c>
    </row>
    <row r="47" spans="1:21" ht="45.75" customHeight="1">
      <c r="A47" s="35" t="s">
        <v>323</v>
      </c>
      <c r="B47" s="27" t="s">
        <v>36</v>
      </c>
      <c r="C47" s="27" t="s">
        <v>324</v>
      </c>
      <c r="D47" s="28">
        <v>46378</v>
      </c>
      <c r="E47" s="28">
        <v>46378</v>
      </c>
      <c r="F47" s="27" t="s">
        <v>421</v>
      </c>
      <c r="G47" s="27">
        <v>1</v>
      </c>
      <c r="H47" s="27" t="s">
        <v>110</v>
      </c>
      <c r="I47" s="27" t="s">
        <v>555</v>
      </c>
      <c r="J47" s="27" t="s">
        <v>714</v>
      </c>
      <c r="K47" s="27" t="s">
        <v>715</v>
      </c>
      <c r="L47" s="27" t="s">
        <v>716</v>
      </c>
      <c r="M47" s="27" t="s">
        <v>717</v>
      </c>
      <c r="N47" s="27" t="s">
        <v>718</v>
      </c>
      <c r="O47" s="27" t="s">
        <v>320</v>
      </c>
      <c r="P47" s="27" t="s">
        <v>711</v>
      </c>
      <c r="Q47" s="27" t="s">
        <v>719</v>
      </c>
      <c r="R47" s="27" t="s">
        <v>720</v>
      </c>
      <c r="S47" s="27" t="s">
        <v>431</v>
      </c>
      <c r="T47" s="27" t="str">
        <f>'WBS'!J59</f>
        <v>Not Started</v>
      </c>
      <c r="U47" s="27" t="s">
        <v>432</v>
      </c>
    </row>
    <row r="48" spans="1:21" ht="62.25" customHeight="1">
      <c r="A48" s="36" t="s">
        <v>326</v>
      </c>
      <c r="B48" s="29" t="s">
        <v>36</v>
      </c>
      <c r="C48" s="29" t="s">
        <v>327</v>
      </c>
      <c r="D48" s="30">
        <v>46379</v>
      </c>
      <c r="E48" s="30">
        <v>46379</v>
      </c>
      <c r="F48" s="29" t="s">
        <v>421</v>
      </c>
      <c r="G48" s="29">
        <v>1</v>
      </c>
      <c r="H48" s="29" t="s">
        <v>110</v>
      </c>
      <c r="I48" s="29" t="s">
        <v>514</v>
      </c>
      <c r="J48" s="29" t="s">
        <v>721</v>
      </c>
      <c r="K48" s="29" t="s">
        <v>722</v>
      </c>
      <c r="L48" s="29" t="s">
        <v>723</v>
      </c>
      <c r="M48" s="29" t="s">
        <v>724</v>
      </c>
      <c r="N48" s="29" t="s">
        <v>725</v>
      </c>
      <c r="O48" s="29" t="s">
        <v>323</v>
      </c>
      <c r="P48" s="29" t="s">
        <v>726</v>
      </c>
      <c r="Q48" s="29" t="s">
        <v>727</v>
      </c>
      <c r="R48" s="29" t="s">
        <v>728</v>
      </c>
      <c r="S48" s="29" t="s">
        <v>431</v>
      </c>
      <c r="T48" s="29" t="str">
        <f>'WBS'!J60</f>
        <v>Not Started</v>
      </c>
      <c r="U48" s="29" t="s">
        <v>432</v>
      </c>
    </row>
    <row r="49" spans="1:21" ht="45.75" customHeight="1">
      <c r="A49" s="35" t="s">
        <v>329</v>
      </c>
      <c r="B49" s="27" t="s">
        <v>36</v>
      </c>
      <c r="C49" s="27" t="s">
        <v>330</v>
      </c>
      <c r="D49" s="28">
        <v>46380</v>
      </c>
      <c r="E49" s="28">
        <v>46380</v>
      </c>
      <c r="F49" s="27" t="s">
        <v>421</v>
      </c>
      <c r="G49" s="27">
        <v>0.5</v>
      </c>
      <c r="H49" s="27" t="s">
        <v>110</v>
      </c>
      <c r="I49" s="27" t="s">
        <v>570</v>
      </c>
      <c r="J49" s="27" t="s">
        <v>729</v>
      </c>
      <c r="K49" s="27" t="s">
        <v>730</v>
      </c>
      <c r="L49" s="27" t="s">
        <v>731</v>
      </c>
      <c r="M49" s="27" t="s">
        <v>732</v>
      </c>
      <c r="N49" s="27" t="s">
        <v>733</v>
      </c>
      <c r="O49" s="27" t="s">
        <v>326</v>
      </c>
      <c r="P49" s="27" t="s">
        <v>507</v>
      </c>
      <c r="Q49" s="27" t="s">
        <v>734</v>
      </c>
      <c r="R49" s="27" t="s">
        <v>735</v>
      </c>
      <c r="S49" s="27" t="s">
        <v>431</v>
      </c>
      <c r="T49" s="27" t="str">
        <f>'WBS'!J61</f>
        <v>Not Started</v>
      </c>
      <c r="U49" s="27" t="s">
        <v>432</v>
      </c>
    </row>
    <row r="50" spans="1:21" ht="62.25" customHeight="1">
      <c r="A50" s="36" t="s">
        <v>128</v>
      </c>
      <c r="B50" s="29" t="s">
        <v>36</v>
      </c>
      <c r="C50" s="29" t="s">
        <v>129</v>
      </c>
      <c r="D50" s="30">
        <v>46380</v>
      </c>
      <c r="E50" s="30">
        <v>46380</v>
      </c>
      <c r="F50" s="29" t="s">
        <v>433</v>
      </c>
      <c r="G50" s="29">
        <v>0.5</v>
      </c>
      <c r="H50" s="29" t="s">
        <v>110</v>
      </c>
      <c r="I50" s="29" t="s">
        <v>461</v>
      </c>
      <c r="J50" s="29" t="s">
        <v>736</v>
      </c>
      <c r="K50" s="29" t="s">
        <v>463</v>
      </c>
      <c r="L50" s="29" t="s">
        <v>737</v>
      </c>
      <c r="M50" s="29" t="s">
        <v>426</v>
      </c>
      <c r="N50" s="29" t="s">
        <v>465</v>
      </c>
      <c r="O50" s="29" t="s">
        <v>329</v>
      </c>
      <c r="Q50" s="29" t="s">
        <v>738</v>
      </c>
      <c r="R50" s="29" t="s">
        <v>739</v>
      </c>
      <c r="S50" s="29" t="s">
        <v>10</v>
      </c>
      <c r="T50" s="29" t="str">
        <f>'WBS'!J62</f>
        <v>Not Started</v>
      </c>
      <c r="U50" s="29" t="s">
        <v>432</v>
      </c>
    </row>
    <row r="51" spans="1:21" ht="45.75" customHeight="1">
      <c r="A51" s="35" t="s">
        <v>332</v>
      </c>
      <c r="B51" s="27" t="s">
        <v>36</v>
      </c>
      <c r="C51" s="27" t="s">
        <v>232</v>
      </c>
      <c r="D51" s="28">
        <v>46381</v>
      </c>
      <c r="E51" s="28">
        <v>46381</v>
      </c>
      <c r="F51" s="27" t="s">
        <v>421</v>
      </c>
      <c r="G51" s="27">
        <v>1</v>
      </c>
      <c r="H51" s="27" t="s">
        <v>110</v>
      </c>
      <c r="I51" s="27" t="s">
        <v>468</v>
      </c>
      <c r="J51" s="27" t="s">
        <v>469</v>
      </c>
      <c r="K51" s="27" t="s">
        <v>470</v>
      </c>
      <c r="L51" s="27" t="s">
        <v>471</v>
      </c>
      <c r="M51" s="27" t="s">
        <v>426</v>
      </c>
      <c r="N51" s="27" t="s">
        <v>472</v>
      </c>
      <c r="O51" s="27" t="s">
        <v>473</v>
      </c>
      <c r="Q51" s="27" t="s">
        <v>474</v>
      </c>
      <c r="R51" s="27" t="s">
        <v>475</v>
      </c>
      <c r="S51" s="27" t="s">
        <v>476</v>
      </c>
      <c r="T51" s="27" t="str">
        <f>'WBS'!J63</f>
        <v>Contingency</v>
      </c>
      <c r="U51" s="27" t="s">
        <v>432</v>
      </c>
    </row>
    <row r="52" spans="1:21" ht="62.25" customHeight="1">
      <c r="A52" s="36" t="s">
        <v>333</v>
      </c>
      <c r="B52" s="29" t="s">
        <v>41</v>
      </c>
      <c r="C52" s="29" t="s">
        <v>334</v>
      </c>
      <c r="D52" s="30">
        <v>46384</v>
      </c>
      <c r="E52" s="30">
        <v>46384</v>
      </c>
      <c r="F52" s="29" t="s">
        <v>421</v>
      </c>
      <c r="G52" s="29">
        <v>1</v>
      </c>
      <c r="H52" s="29" t="s">
        <v>110</v>
      </c>
      <c r="I52" s="29" t="s">
        <v>740</v>
      </c>
      <c r="J52" s="29" t="s">
        <v>741</v>
      </c>
      <c r="K52" s="29" t="s">
        <v>742</v>
      </c>
      <c r="L52" s="29" t="s">
        <v>743</v>
      </c>
      <c r="M52" s="29" t="s">
        <v>744</v>
      </c>
      <c r="N52" s="29" t="s">
        <v>745</v>
      </c>
      <c r="O52" s="29" t="s">
        <v>128</v>
      </c>
      <c r="P52" s="29" t="s">
        <v>746</v>
      </c>
      <c r="Q52" s="29" t="s">
        <v>747</v>
      </c>
      <c r="R52" s="29" t="s">
        <v>748</v>
      </c>
      <c r="S52" s="29" t="s">
        <v>431</v>
      </c>
      <c r="T52" s="29" t="str">
        <f>'WBS'!J65</f>
        <v>Not Started</v>
      </c>
      <c r="U52" s="29" t="s">
        <v>432</v>
      </c>
    </row>
    <row r="53" spans="1:21" ht="62.25" customHeight="1">
      <c r="A53" s="35" t="s">
        <v>336</v>
      </c>
      <c r="B53" s="27" t="s">
        <v>41</v>
      </c>
      <c r="C53" s="27" t="s">
        <v>337</v>
      </c>
      <c r="D53" s="28">
        <v>46385</v>
      </c>
      <c r="E53" s="28">
        <v>46385</v>
      </c>
      <c r="F53" s="27" t="s">
        <v>421</v>
      </c>
      <c r="G53" s="27">
        <v>1</v>
      </c>
      <c r="H53" s="27" t="s">
        <v>110</v>
      </c>
      <c r="I53" s="27" t="s">
        <v>749</v>
      </c>
      <c r="J53" s="27" t="s">
        <v>750</v>
      </c>
      <c r="K53" s="27" t="s">
        <v>751</v>
      </c>
      <c r="L53" s="27" t="s">
        <v>752</v>
      </c>
      <c r="M53" s="27" t="s">
        <v>744</v>
      </c>
      <c r="N53" s="27" t="s">
        <v>753</v>
      </c>
      <c r="O53" s="27" t="s">
        <v>333</v>
      </c>
      <c r="P53" s="27" t="s">
        <v>746</v>
      </c>
      <c r="Q53" s="27" t="s">
        <v>754</v>
      </c>
      <c r="R53" s="27" t="s">
        <v>755</v>
      </c>
      <c r="S53" s="27" t="s">
        <v>431</v>
      </c>
      <c r="T53" s="27" t="str">
        <f>'WBS'!J66</f>
        <v>Not Started</v>
      </c>
      <c r="U53" s="27" t="s">
        <v>432</v>
      </c>
    </row>
    <row r="54" spans="1:21" ht="62.25" customHeight="1">
      <c r="A54" s="36" t="s">
        <v>339</v>
      </c>
      <c r="B54" s="29" t="s">
        <v>41</v>
      </c>
      <c r="C54" s="29" t="s">
        <v>340</v>
      </c>
      <c r="D54" s="30">
        <v>46386</v>
      </c>
      <c r="E54" s="30">
        <v>46386</v>
      </c>
      <c r="F54" s="29" t="s">
        <v>421</v>
      </c>
      <c r="G54" s="29">
        <v>1</v>
      </c>
      <c r="H54" s="29" t="s">
        <v>110</v>
      </c>
      <c r="I54" s="29" t="s">
        <v>547</v>
      </c>
      <c r="J54" s="29" t="s">
        <v>756</v>
      </c>
      <c r="K54" s="29" t="s">
        <v>757</v>
      </c>
      <c r="L54" s="29" t="s">
        <v>758</v>
      </c>
      <c r="M54" s="29" t="s">
        <v>759</v>
      </c>
      <c r="N54" s="29" t="s">
        <v>760</v>
      </c>
      <c r="O54" s="29" t="s">
        <v>336</v>
      </c>
      <c r="P54" s="29" t="s">
        <v>726</v>
      </c>
      <c r="Q54" s="29" t="s">
        <v>761</v>
      </c>
      <c r="R54" s="29" t="s">
        <v>762</v>
      </c>
      <c r="S54" s="29" t="s">
        <v>431</v>
      </c>
      <c r="T54" s="29" t="str">
        <f>'WBS'!J67</f>
        <v>Not Started</v>
      </c>
      <c r="U54" s="29" t="s">
        <v>432</v>
      </c>
    </row>
    <row r="55" spans="1:21" ht="62.25" customHeight="1">
      <c r="A55" s="35" t="s">
        <v>342</v>
      </c>
      <c r="B55" s="27" t="s">
        <v>41</v>
      </c>
      <c r="C55" s="27" t="s">
        <v>343</v>
      </c>
      <c r="D55" s="28">
        <v>46387</v>
      </c>
      <c r="E55" s="28">
        <v>46387</v>
      </c>
      <c r="F55" s="27" t="s">
        <v>421</v>
      </c>
      <c r="G55" s="27">
        <v>1</v>
      </c>
      <c r="H55" s="27" t="s">
        <v>110</v>
      </c>
      <c r="I55" s="27" t="s">
        <v>538</v>
      </c>
      <c r="J55" s="27" t="s">
        <v>763</v>
      </c>
      <c r="K55" s="27" t="s">
        <v>764</v>
      </c>
      <c r="L55" s="27" t="s">
        <v>765</v>
      </c>
      <c r="M55" s="27" t="s">
        <v>766</v>
      </c>
      <c r="N55" s="27" t="s">
        <v>767</v>
      </c>
      <c r="O55" s="27" t="s">
        <v>339</v>
      </c>
      <c r="P55" s="27" t="s">
        <v>768</v>
      </c>
      <c r="Q55" s="27" t="s">
        <v>769</v>
      </c>
      <c r="R55" s="27" t="s">
        <v>770</v>
      </c>
      <c r="S55" s="27" t="s">
        <v>431</v>
      </c>
      <c r="T55" s="27" t="str">
        <f>'WBS'!J68</f>
        <v>Not Started</v>
      </c>
      <c r="U55" s="27" t="s">
        <v>432</v>
      </c>
    </row>
    <row r="56" spans="1:21" ht="45.75" customHeight="1">
      <c r="A56" s="36" t="s">
        <v>345</v>
      </c>
      <c r="B56" s="29" t="s">
        <v>41</v>
      </c>
      <c r="C56" s="29" t="s">
        <v>346</v>
      </c>
      <c r="D56" s="30">
        <v>46391</v>
      </c>
      <c r="E56" s="30">
        <v>46391</v>
      </c>
      <c r="F56" s="29" t="s">
        <v>421</v>
      </c>
      <c r="G56" s="29">
        <v>1</v>
      </c>
      <c r="H56" s="29" t="s">
        <v>110</v>
      </c>
      <c r="I56" s="29" t="s">
        <v>555</v>
      </c>
      <c r="J56" s="29" t="s">
        <v>771</v>
      </c>
      <c r="K56" s="29" t="s">
        <v>772</v>
      </c>
      <c r="L56" s="29" t="s">
        <v>773</v>
      </c>
      <c r="M56" s="29" t="s">
        <v>774</v>
      </c>
      <c r="N56" s="29" t="s">
        <v>775</v>
      </c>
      <c r="O56" s="29" t="s">
        <v>342</v>
      </c>
      <c r="P56" s="29" t="s">
        <v>776</v>
      </c>
      <c r="Q56" s="29" t="s">
        <v>777</v>
      </c>
      <c r="R56" s="29" t="s">
        <v>778</v>
      </c>
      <c r="S56" s="29" t="s">
        <v>431</v>
      </c>
      <c r="T56" s="29" t="str">
        <f>'WBS'!J69</f>
        <v>Not Started</v>
      </c>
      <c r="U56" s="29" t="s">
        <v>432</v>
      </c>
    </row>
    <row r="57" spans="1:21" ht="62.25" customHeight="1">
      <c r="A57" s="35" t="s">
        <v>348</v>
      </c>
      <c r="B57" s="27" t="s">
        <v>41</v>
      </c>
      <c r="C57" s="27" t="s">
        <v>349</v>
      </c>
      <c r="D57" s="28">
        <v>46392</v>
      </c>
      <c r="E57" s="28">
        <v>46392</v>
      </c>
      <c r="F57" s="27" t="s">
        <v>421</v>
      </c>
      <c r="G57" s="27">
        <v>1</v>
      </c>
      <c r="H57" s="27" t="s">
        <v>110</v>
      </c>
      <c r="I57" s="27" t="s">
        <v>779</v>
      </c>
      <c r="J57" s="27" t="s">
        <v>780</v>
      </c>
      <c r="K57" s="27" t="s">
        <v>781</v>
      </c>
      <c r="L57" s="27" t="s">
        <v>782</v>
      </c>
      <c r="M57" s="27" t="s">
        <v>783</v>
      </c>
      <c r="N57" s="27" t="s">
        <v>784</v>
      </c>
      <c r="O57" s="27" t="s">
        <v>345</v>
      </c>
      <c r="P57" s="27" t="s">
        <v>785</v>
      </c>
      <c r="Q57" s="27" t="s">
        <v>786</v>
      </c>
      <c r="R57" s="27" t="s">
        <v>787</v>
      </c>
      <c r="S57" s="27" t="s">
        <v>431</v>
      </c>
      <c r="T57" s="27" t="str">
        <f>'WBS'!J70</f>
        <v>Not Started</v>
      </c>
      <c r="U57" s="27" t="s">
        <v>432</v>
      </c>
    </row>
    <row r="58" spans="1:21" ht="62.25" customHeight="1">
      <c r="A58" s="36" t="s">
        <v>351</v>
      </c>
      <c r="B58" s="29" t="s">
        <v>41</v>
      </c>
      <c r="C58" s="29" t="s">
        <v>352</v>
      </c>
      <c r="D58" s="30">
        <v>46393</v>
      </c>
      <c r="E58" s="30">
        <v>46393</v>
      </c>
      <c r="F58" s="29" t="s">
        <v>421</v>
      </c>
      <c r="G58" s="29">
        <v>1</v>
      </c>
      <c r="H58" s="29" t="s">
        <v>110</v>
      </c>
      <c r="I58" s="29" t="s">
        <v>788</v>
      </c>
      <c r="J58" s="29" t="s">
        <v>789</v>
      </c>
      <c r="K58" s="29" t="s">
        <v>790</v>
      </c>
      <c r="L58" s="29" t="s">
        <v>791</v>
      </c>
      <c r="M58" s="29" t="s">
        <v>792</v>
      </c>
      <c r="N58" s="29" t="s">
        <v>793</v>
      </c>
      <c r="O58" s="29" t="s">
        <v>348</v>
      </c>
      <c r="P58" s="29" t="s">
        <v>567</v>
      </c>
      <c r="Q58" s="29" t="s">
        <v>794</v>
      </c>
      <c r="R58" s="29" t="s">
        <v>795</v>
      </c>
      <c r="S58" s="29" t="s">
        <v>431</v>
      </c>
      <c r="T58" s="29" t="str">
        <f>'WBS'!J71</f>
        <v>Not Started</v>
      </c>
      <c r="U58" s="29" t="s">
        <v>432</v>
      </c>
    </row>
    <row r="59" spans="1:21" ht="62.25" customHeight="1">
      <c r="A59" s="35" t="s">
        <v>354</v>
      </c>
      <c r="B59" s="27" t="s">
        <v>41</v>
      </c>
      <c r="C59" s="27" t="s">
        <v>355</v>
      </c>
      <c r="D59" s="28">
        <v>46394</v>
      </c>
      <c r="E59" s="28">
        <v>46394</v>
      </c>
      <c r="F59" s="27" t="s">
        <v>421</v>
      </c>
      <c r="G59" s="27">
        <v>1</v>
      </c>
      <c r="H59" s="27" t="s">
        <v>110</v>
      </c>
      <c r="I59" s="27" t="s">
        <v>570</v>
      </c>
      <c r="J59" s="27" t="s">
        <v>796</v>
      </c>
      <c r="K59" s="27" t="s">
        <v>797</v>
      </c>
      <c r="L59" s="27" t="s">
        <v>798</v>
      </c>
      <c r="M59" s="27" t="s">
        <v>799</v>
      </c>
      <c r="N59" s="27" t="s">
        <v>800</v>
      </c>
      <c r="O59" s="27" t="s">
        <v>351</v>
      </c>
      <c r="P59" s="27" t="s">
        <v>507</v>
      </c>
      <c r="Q59" s="27" t="s">
        <v>801</v>
      </c>
      <c r="R59" s="27" t="s">
        <v>802</v>
      </c>
      <c r="S59" s="27" t="s">
        <v>431</v>
      </c>
      <c r="T59" s="27" t="str">
        <f>'WBS'!J72</f>
        <v>Not Started</v>
      </c>
      <c r="U59" s="27" t="s">
        <v>432</v>
      </c>
    </row>
    <row r="60" spans="1:21" ht="62.25" customHeight="1">
      <c r="A60" s="36" t="s">
        <v>357</v>
      </c>
      <c r="B60" s="29" t="s">
        <v>41</v>
      </c>
      <c r="C60" s="29" t="s">
        <v>358</v>
      </c>
      <c r="D60" s="30">
        <v>46395</v>
      </c>
      <c r="E60" s="30">
        <v>46395</v>
      </c>
      <c r="F60" s="29" t="s">
        <v>421</v>
      </c>
      <c r="G60" s="29">
        <v>0.5</v>
      </c>
      <c r="H60" s="29" t="s">
        <v>110</v>
      </c>
      <c r="I60" s="29" t="s">
        <v>803</v>
      </c>
      <c r="J60" s="29" t="s">
        <v>804</v>
      </c>
      <c r="K60" s="29" t="s">
        <v>805</v>
      </c>
      <c r="L60" s="29" t="s">
        <v>806</v>
      </c>
      <c r="M60" s="29" t="s">
        <v>807</v>
      </c>
      <c r="N60" s="29" t="s">
        <v>808</v>
      </c>
      <c r="O60" s="29" t="s">
        <v>354</v>
      </c>
      <c r="P60" s="29" t="s">
        <v>567</v>
      </c>
      <c r="Q60" s="29" t="s">
        <v>809</v>
      </c>
      <c r="R60" s="29" t="s">
        <v>810</v>
      </c>
      <c r="S60" s="29" t="s">
        <v>431</v>
      </c>
      <c r="T60" s="29" t="str">
        <f>'WBS'!J73</f>
        <v>Not Started</v>
      </c>
      <c r="U60" s="29" t="s">
        <v>432</v>
      </c>
    </row>
    <row r="61" spans="1:21" ht="62.25" customHeight="1">
      <c r="A61" s="35" t="s">
        <v>131</v>
      </c>
      <c r="B61" s="27" t="s">
        <v>41</v>
      </c>
      <c r="C61" s="27" t="s">
        <v>132</v>
      </c>
      <c r="D61" s="28">
        <v>46395</v>
      </c>
      <c r="E61" s="28">
        <v>46395</v>
      </c>
      <c r="F61" s="27" t="s">
        <v>433</v>
      </c>
      <c r="G61" s="27">
        <v>0.5</v>
      </c>
      <c r="H61" s="27" t="s">
        <v>110</v>
      </c>
      <c r="I61" s="27" t="s">
        <v>461</v>
      </c>
      <c r="J61" s="27" t="s">
        <v>811</v>
      </c>
      <c r="K61" s="27" t="s">
        <v>463</v>
      </c>
      <c r="L61" s="27" t="s">
        <v>812</v>
      </c>
      <c r="M61" s="27" t="s">
        <v>426</v>
      </c>
      <c r="N61" s="27" t="s">
        <v>465</v>
      </c>
      <c r="O61" s="27" t="s">
        <v>357</v>
      </c>
      <c r="Q61" s="27" t="s">
        <v>813</v>
      </c>
      <c r="R61" s="27" t="s">
        <v>814</v>
      </c>
      <c r="S61" s="27" t="s">
        <v>10</v>
      </c>
      <c r="T61" s="27" t="str">
        <f>'WBS'!J74</f>
        <v>Not Started</v>
      </c>
      <c r="U61" s="27" t="s">
        <v>432</v>
      </c>
    </row>
    <row r="62" spans="1:21" ht="45.75" customHeight="1">
      <c r="A62" s="36" t="s">
        <v>360</v>
      </c>
      <c r="B62" s="29" t="s">
        <v>41</v>
      </c>
      <c r="C62" s="29" t="s">
        <v>361</v>
      </c>
      <c r="D62" s="30">
        <v>46388</v>
      </c>
      <c r="E62" s="30">
        <v>46388</v>
      </c>
      <c r="F62" s="29" t="s">
        <v>421</v>
      </c>
      <c r="G62" s="29">
        <v>1</v>
      </c>
      <c r="H62" s="29" t="s">
        <v>110</v>
      </c>
      <c r="I62" s="29" t="s">
        <v>468</v>
      </c>
      <c r="J62" s="29" t="s">
        <v>469</v>
      </c>
      <c r="K62" s="29" t="s">
        <v>815</v>
      </c>
      <c r="L62" s="29" t="s">
        <v>471</v>
      </c>
      <c r="M62" s="29" t="s">
        <v>426</v>
      </c>
      <c r="N62" s="29" t="s">
        <v>472</v>
      </c>
      <c r="O62" s="29" t="s">
        <v>473</v>
      </c>
      <c r="Q62" s="29" t="s">
        <v>816</v>
      </c>
      <c r="R62" s="29" t="s">
        <v>475</v>
      </c>
      <c r="S62" s="29" t="s">
        <v>817</v>
      </c>
      <c r="T62" s="29" t="str">
        <f>'WBS'!J75</f>
        <v>Contingency</v>
      </c>
      <c r="U62" s="29" t="s">
        <v>432</v>
      </c>
    </row>
    <row r="63" spans="1:21" ht="62.25" customHeight="1">
      <c r="A63" s="35" t="s">
        <v>363</v>
      </c>
      <c r="B63" s="27" t="s">
        <v>46</v>
      </c>
      <c r="C63" s="27" t="s">
        <v>364</v>
      </c>
      <c r="D63" s="28">
        <v>46398</v>
      </c>
      <c r="E63" s="28">
        <v>46398</v>
      </c>
      <c r="F63" s="27" t="s">
        <v>421</v>
      </c>
      <c r="G63" s="27">
        <v>1</v>
      </c>
      <c r="H63" s="27" t="s">
        <v>110</v>
      </c>
      <c r="I63" s="27" t="s">
        <v>493</v>
      </c>
      <c r="J63" s="27" t="s">
        <v>818</v>
      </c>
      <c r="K63" s="27" t="s">
        <v>819</v>
      </c>
      <c r="L63" s="27" t="s">
        <v>820</v>
      </c>
      <c r="M63" s="27" t="s">
        <v>617</v>
      </c>
      <c r="N63" s="27" t="s">
        <v>821</v>
      </c>
      <c r="O63" s="27" t="s">
        <v>131</v>
      </c>
      <c r="P63" s="27" t="s">
        <v>785</v>
      </c>
      <c r="Q63" s="27" t="s">
        <v>822</v>
      </c>
      <c r="R63" s="27" t="s">
        <v>823</v>
      </c>
      <c r="S63" s="27" t="s">
        <v>431</v>
      </c>
      <c r="T63" s="27" t="str">
        <f>'WBS'!J77</f>
        <v>Not Started</v>
      </c>
      <c r="U63" s="27" t="s">
        <v>432</v>
      </c>
    </row>
    <row r="64" spans="1:21" ht="62.25" customHeight="1">
      <c r="A64" s="36" t="s">
        <v>366</v>
      </c>
      <c r="B64" s="29" t="s">
        <v>46</v>
      </c>
      <c r="C64" s="29" t="s">
        <v>367</v>
      </c>
      <c r="D64" s="30">
        <v>46399</v>
      </c>
      <c r="E64" s="30">
        <v>46399</v>
      </c>
      <c r="F64" s="29" t="s">
        <v>421</v>
      </c>
      <c r="G64" s="29">
        <v>1</v>
      </c>
      <c r="H64" s="29" t="s">
        <v>110</v>
      </c>
      <c r="I64" s="29" t="s">
        <v>530</v>
      </c>
      <c r="J64" s="29" t="s">
        <v>824</v>
      </c>
      <c r="K64" s="29" t="s">
        <v>825</v>
      </c>
      <c r="L64" s="29" t="s">
        <v>826</v>
      </c>
      <c r="M64" s="29" t="s">
        <v>827</v>
      </c>
      <c r="N64" s="29" t="s">
        <v>828</v>
      </c>
      <c r="O64" s="29" t="s">
        <v>363</v>
      </c>
      <c r="P64" s="29" t="s">
        <v>829</v>
      </c>
      <c r="Q64" s="29" t="s">
        <v>830</v>
      </c>
      <c r="R64" s="29" t="s">
        <v>831</v>
      </c>
      <c r="S64" s="29" t="s">
        <v>431</v>
      </c>
      <c r="T64" s="29" t="str">
        <f>'WBS'!J78</f>
        <v>Not Started</v>
      </c>
      <c r="U64" s="29" t="s">
        <v>432</v>
      </c>
    </row>
    <row r="65" spans="1:21" ht="62.25" customHeight="1">
      <c r="A65" s="35" t="s">
        <v>369</v>
      </c>
      <c r="B65" s="27" t="s">
        <v>46</v>
      </c>
      <c r="C65" s="27" t="s">
        <v>370</v>
      </c>
      <c r="D65" s="28">
        <v>46400</v>
      </c>
      <c r="E65" s="28">
        <v>46400</v>
      </c>
      <c r="F65" s="27" t="s">
        <v>421</v>
      </c>
      <c r="G65" s="27">
        <v>0.5</v>
      </c>
      <c r="H65" s="27" t="s">
        <v>110</v>
      </c>
      <c r="I65" s="27" t="s">
        <v>832</v>
      </c>
      <c r="J65" s="27" t="s">
        <v>833</v>
      </c>
      <c r="K65" s="27" t="s">
        <v>834</v>
      </c>
      <c r="L65" s="27" t="s">
        <v>835</v>
      </c>
      <c r="M65" s="27" t="s">
        <v>836</v>
      </c>
      <c r="N65" s="27" t="s">
        <v>837</v>
      </c>
      <c r="O65" s="27" t="s">
        <v>366</v>
      </c>
      <c r="P65" s="27" t="s">
        <v>567</v>
      </c>
      <c r="Q65" s="27" t="s">
        <v>838</v>
      </c>
      <c r="R65" s="27" t="s">
        <v>839</v>
      </c>
      <c r="S65" s="27" t="s">
        <v>431</v>
      </c>
      <c r="T65" s="27" t="str">
        <f>'WBS'!J79</f>
        <v>Not Started</v>
      </c>
      <c r="U65" s="27" t="s">
        <v>432</v>
      </c>
    </row>
    <row r="66" spans="1:21" ht="62.25" customHeight="1">
      <c r="A66" s="36" t="s">
        <v>372</v>
      </c>
      <c r="B66" s="29" t="s">
        <v>46</v>
      </c>
      <c r="C66" s="29" t="s">
        <v>373</v>
      </c>
      <c r="D66" s="30">
        <v>46400</v>
      </c>
      <c r="E66" s="30">
        <v>46400</v>
      </c>
      <c r="F66" s="29" t="s">
        <v>433</v>
      </c>
      <c r="G66" s="29">
        <v>0.5</v>
      </c>
      <c r="H66" s="29" t="s">
        <v>110</v>
      </c>
      <c r="I66" s="29" t="s">
        <v>840</v>
      </c>
      <c r="J66" s="29" t="s">
        <v>841</v>
      </c>
      <c r="K66" s="29" t="s">
        <v>842</v>
      </c>
      <c r="L66" s="29" t="s">
        <v>843</v>
      </c>
      <c r="M66" s="29" t="s">
        <v>844</v>
      </c>
      <c r="N66" s="29" t="s">
        <v>845</v>
      </c>
      <c r="O66" s="29" t="s">
        <v>369</v>
      </c>
      <c r="P66" s="29" t="s">
        <v>846</v>
      </c>
      <c r="Q66" s="29" t="s">
        <v>847</v>
      </c>
      <c r="R66" s="29" t="s">
        <v>848</v>
      </c>
      <c r="S66" s="29" t="s">
        <v>431</v>
      </c>
      <c r="T66" s="29" t="str">
        <f>'WBS'!J80</f>
        <v>Not Started</v>
      </c>
      <c r="U66" s="29" t="s">
        <v>432</v>
      </c>
    </row>
    <row r="67" spans="1:21" ht="45.75" customHeight="1">
      <c r="A67" s="35" t="s">
        <v>375</v>
      </c>
      <c r="B67" s="27" t="s">
        <v>46</v>
      </c>
      <c r="C67" s="27" t="s">
        <v>376</v>
      </c>
      <c r="D67" s="28">
        <v>46401</v>
      </c>
      <c r="E67" s="28">
        <v>46401</v>
      </c>
      <c r="F67" s="27" t="s">
        <v>421</v>
      </c>
      <c r="G67" s="27">
        <v>0.5</v>
      </c>
      <c r="H67" s="27" t="s">
        <v>110</v>
      </c>
      <c r="I67" s="27" t="s">
        <v>570</v>
      </c>
      <c r="J67" s="27" t="s">
        <v>849</v>
      </c>
      <c r="K67" s="27" t="s">
        <v>850</v>
      </c>
      <c r="L67" s="27" t="s">
        <v>851</v>
      </c>
      <c r="M67" s="27" t="s">
        <v>852</v>
      </c>
      <c r="N67" s="27" t="s">
        <v>853</v>
      </c>
      <c r="O67" s="27" t="s">
        <v>372</v>
      </c>
      <c r="P67" s="27" t="s">
        <v>507</v>
      </c>
      <c r="Q67" s="27" t="s">
        <v>854</v>
      </c>
      <c r="R67" s="27" t="s">
        <v>855</v>
      </c>
      <c r="S67" s="27" t="s">
        <v>431</v>
      </c>
      <c r="T67" s="27" t="str">
        <f>'WBS'!J81</f>
        <v>Not Started</v>
      </c>
      <c r="U67" s="27" t="s">
        <v>432</v>
      </c>
    </row>
    <row r="68" spans="1:21" ht="62.25" customHeight="1">
      <c r="A68" s="36" t="s">
        <v>134</v>
      </c>
      <c r="B68" s="29" t="s">
        <v>46</v>
      </c>
      <c r="C68" s="29" t="s">
        <v>135</v>
      </c>
      <c r="D68" s="30">
        <v>46401</v>
      </c>
      <c r="E68" s="30">
        <v>46401</v>
      </c>
      <c r="F68" s="29" t="s">
        <v>433</v>
      </c>
      <c r="G68" s="29">
        <v>0.5</v>
      </c>
      <c r="H68" s="29" t="s">
        <v>110</v>
      </c>
      <c r="I68" s="29" t="s">
        <v>461</v>
      </c>
      <c r="J68" s="29" t="s">
        <v>856</v>
      </c>
      <c r="K68" s="29" t="s">
        <v>463</v>
      </c>
      <c r="L68" s="29" t="s">
        <v>857</v>
      </c>
      <c r="M68" s="29" t="s">
        <v>426</v>
      </c>
      <c r="N68" s="29" t="s">
        <v>465</v>
      </c>
      <c r="O68" s="29" t="s">
        <v>375</v>
      </c>
      <c r="Q68" s="29" t="s">
        <v>858</v>
      </c>
      <c r="R68" s="29" t="s">
        <v>859</v>
      </c>
      <c r="S68" s="29" t="s">
        <v>10</v>
      </c>
      <c r="T68" s="29" t="str">
        <f>'WBS'!J82</f>
        <v>Not Started</v>
      </c>
      <c r="U68" s="29" t="s">
        <v>432</v>
      </c>
    </row>
    <row r="69" spans="1:21" ht="45.75" customHeight="1">
      <c r="A69" s="35" t="s">
        <v>378</v>
      </c>
      <c r="B69" s="27" t="s">
        <v>46</v>
      </c>
      <c r="C69" s="27" t="s">
        <v>232</v>
      </c>
      <c r="D69" s="28">
        <v>46402</v>
      </c>
      <c r="E69" s="28">
        <v>46402</v>
      </c>
      <c r="F69" s="27" t="s">
        <v>421</v>
      </c>
      <c r="G69" s="27">
        <v>1</v>
      </c>
      <c r="H69" s="27" t="s">
        <v>110</v>
      </c>
      <c r="I69" s="27" t="s">
        <v>468</v>
      </c>
      <c r="J69" s="27" t="s">
        <v>469</v>
      </c>
      <c r="K69" s="27" t="s">
        <v>470</v>
      </c>
      <c r="L69" s="27" t="s">
        <v>471</v>
      </c>
      <c r="M69" s="27" t="s">
        <v>426</v>
      </c>
      <c r="N69" s="27" t="s">
        <v>472</v>
      </c>
      <c r="O69" s="27" t="s">
        <v>473</v>
      </c>
      <c r="Q69" s="27" t="s">
        <v>474</v>
      </c>
      <c r="R69" s="27" t="s">
        <v>475</v>
      </c>
      <c r="S69" s="27" t="s">
        <v>476</v>
      </c>
      <c r="T69" s="27" t="str">
        <f>'WBS'!J83</f>
        <v>Contingency</v>
      </c>
      <c r="U69" s="27" t="s">
        <v>432</v>
      </c>
    </row>
    <row r="70" spans="1:21" ht="62.25" customHeight="1">
      <c r="A70" s="36" t="s">
        <v>379</v>
      </c>
      <c r="B70" s="29" t="s">
        <v>51</v>
      </c>
      <c r="C70" s="29" t="s">
        <v>380</v>
      </c>
      <c r="D70" s="30">
        <v>46405</v>
      </c>
      <c r="E70" s="30">
        <v>46405</v>
      </c>
      <c r="F70" s="29" t="s">
        <v>421</v>
      </c>
      <c r="G70" s="29">
        <v>1</v>
      </c>
      <c r="H70" s="29" t="s">
        <v>110</v>
      </c>
      <c r="I70" s="29" t="s">
        <v>562</v>
      </c>
      <c r="J70" s="29" t="s">
        <v>860</v>
      </c>
      <c r="K70" s="29" t="s">
        <v>861</v>
      </c>
      <c r="L70" s="29" t="s">
        <v>862</v>
      </c>
      <c r="M70" s="29" t="s">
        <v>426</v>
      </c>
      <c r="N70" s="29" t="s">
        <v>863</v>
      </c>
      <c r="O70" s="29" t="s">
        <v>134</v>
      </c>
      <c r="P70" s="29" t="s">
        <v>567</v>
      </c>
      <c r="Q70" s="29" t="s">
        <v>864</v>
      </c>
      <c r="R70" s="29" t="s">
        <v>865</v>
      </c>
      <c r="S70" s="29" t="s">
        <v>431</v>
      </c>
      <c r="T70" s="29" t="str">
        <f>'WBS'!J85</f>
        <v>Not Started</v>
      </c>
      <c r="U70" s="29" t="s">
        <v>432</v>
      </c>
    </row>
    <row r="71" spans="1:21" ht="62.25" customHeight="1">
      <c r="A71" s="35" t="s">
        <v>382</v>
      </c>
      <c r="B71" s="27" t="s">
        <v>51</v>
      </c>
      <c r="C71" s="27" t="s">
        <v>383</v>
      </c>
      <c r="D71" s="28">
        <v>46406</v>
      </c>
      <c r="E71" s="28">
        <v>46406</v>
      </c>
      <c r="F71" s="27" t="s">
        <v>421</v>
      </c>
      <c r="G71" s="27">
        <v>1</v>
      </c>
      <c r="H71" s="27" t="s">
        <v>110</v>
      </c>
      <c r="I71" s="27" t="s">
        <v>562</v>
      </c>
      <c r="J71" s="27" t="s">
        <v>866</v>
      </c>
      <c r="K71" s="27" t="s">
        <v>867</v>
      </c>
      <c r="L71" s="27" t="s">
        <v>868</v>
      </c>
      <c r="M71" s="27" t="s">
        <v>426</v>
      </c>
      <c r="N71" s="27" t="s">
        <v>869</v>
      </c>
      <c r="O71" s="27" t="s">
        <v>379</v>
      </c>
      <c r="P71" s="27" t="s">
        <v>567</v>
      </c>
      <c r="Q71" s="27" t="s">
        <v>870</v>
      </c>
      <c r="R71" s="27" t="s">
        <v>871</v>
      </c>
      <c r="S71" s="27" t="s">
        <v>431</v>
      </c>
      <c r="T71" s="27" t="str">
        <f>'WBS'!J86</f>
        <v>Not Started</v>
      </c>
      <c r="U71" s="27" t="s">
        <v>432</v>
      </c>
    </row>
    <row r="72" spans="1:21" ht="62.25" customHeight="1">
      <c r="A72" s="36" t="s">
        <v>385</v>
      </c>
      <c r="B72" s="29" t="s">
        <v>51</v>
      </c>
      <c r="C72" s="29" t="s">
        <v>386</v>
      </c>
      <c r="D72" s="30">
        <v>46407</v>
      </c>
      <c r="E72" s="30">
        <v>46407</v>
      </c>
      <c r="F72" s="29" t="s">
        <v>421</v>
      </c>
      <c r="G72" s="29">
        <v>1</v>
      </c>
      <c r="H72" s="29" t="s">
        <v>110</v>
      </c>
      <c r="I72" s="29" t="s">
        <v>562</v>
      </c>
      <c r="J72" s="29" t="s">
        <v>872</v>
      </c>
      <c r="K72" s="29" t="s">
        <v>873</v>
      </c>
      <c r="L72" s="29" t="s">
        <v>874</v>
      </c>
      <c r="M72" s="29" t="s">
        <v>426</v>
      </c>
      <c r="N72" s="29" t="s">
        <v>875</v>
      </c>
      <c r="O72" s="29" t="s">
        <v>382</v>
      </c>
      <c r="P72" s="29" t="s">
        <v>567</v>
      </c>
      <c r="Q72" s="29" t="s">
        <v>876</v>
      </c>
      <c r="R72" s="29" t="s">
        <v>877</v>
      </c>
      <c r="S72" s="29" t="s">
        <v>431</v>
      </c>
      <c r="T72" s="29" t="str">
        <f>'WBS'!J87</f>
        <v>Not Started</v>
      </c>
      <c r="U72" s="29" t="s">
        <v>432</v>
      </c>
    </row>
    <row r="73" spans="1:21" ht="62.25" customHeight="1">
      <c r="A73" s="35" t="s">
        <v>388</v>
      </c>
      <c r="B73" s="27" t="s">
        <v>51</v>
      </c>
      <c r="C73" s="27" t="s">
        <v>389</v>
      </c>
      <c r="D73" s="28">
        <v>46408</v>
      </c>
      <c r="E73" s="28">
        <v>46408</v>
      </c>
      <c r="F73" s="27" t="s">
        <v>421</v>
      </c>
      <c r="G73" s="27">
        <v>1</v>
      </c>
      <c r="H73" s="27" t="s">
        <v>110</v>
      </c>
      <c r="I73" s="27" t="s">
        <v>878</v>
      </c>
      <c r="J73" s="27" t="s">
        <v>879</v>
      </c>
      <c r="K73" s="27" t="s">
        <v>880</v>
      </c>
      <c r="L73" s="27" t="s">
        <v>881</v>
      </c>
      <c r="M73" s="27" t="s">
        <v>882</v>
      </c>
      <c r="N73" s="27" t="s">
        <v>883</v>
      </c>
      <c r="O73" s="27" t="s">
        <v>385</v>
      </c>
      <c r="P73" s="27" t="s">
        <v>884</v>
      </c>
      <c r="Q73" s="27" t="s">
        <v>885</v>
      </c>
      <c r="R73" s="27" t="s">
        <v>886</v>
      </c>
      <c r="S73" s="27" t="s">
        <v>431</v>
      </c>
      <c r="T73" s="27" t="str">
        <f>'WBS'!J88</f>
        <v>Not Started</v>
      </c>
      <c r="U73" s="27" t="s">
        <v>432</v>
      </c>
    </row>
    <row r="74" spans="1:21" ht="62.25" customHeight="1">
      <c r="A74" s="36" t="s">
        <v>391</v>
      </c>
      <c r="B74" s="29" t="s">
        <v>51</v>
      </c>
      <c r="C74" s="29" t="s">
        <v>392</v>
      </c>
      <c r="D74" s="30">
        <v>46409</v>
      </c>
      <c r="E74" s="30">
        <v>46409</v>
      </c>
      <c r="F74" s="29" t="s">
        <v>421</v>
      </c>
      <c r="G74" s="29">
        <v>1</v>
      </c>
      <c r="H74" s="29" t="s">
        <v>110</v>
      </c>
      <c r="I74" s="29" t="s">
        <v>878</v>
      </c>
      <c r="J74" s="29" t="s">
        <v>887</v>
      </c>
      <c r="K74" s="29" t="s">
        <v>888</v>
      </c>
      <c r="L74" s="29" t="s">
        <v>889</v>
      </c>
      <c r="M74" s="29" t="s">
        <v>426</v>
      </c>
      <c r="N74" s="29" t="s">
        <v>890</v>
      </c>
      <c r="O74" s="29" t="s">
        <v>388</v>
      </c>
      <c r="P74" s="29" t="s">
        <v>884</v>
      </c>
      <c r="Q74" s="29" t="s">
        <v>891</v>
      </c>
      <c r="R74" s="29" t="s">
        <v>892</v>
      </c>
      <c r="S74" s="29" t="s">
        <v>431</v>
      </c>
      <c r="T74" s="29" t="str">
        <f>'WBS'!J89</f>
        <v>Not Started</v>
      </c>
      <c r="U74" s="29" t="s">
        <v>432</v>
      </c>
    </row>
    <row r="75" spans="1:21" ht="62.25" customHeight="1">
      <c r="A75" s="35" t="s">
        <v>394</v>
      </c>
      <c r="B75" s="27" t="s">
        <v>51</v>
      </c>
      <c r="C75" s="27" t="s">
        <v>395</v>
      </c>
      <c r="D75" s="28">
        <v>46412</v>
      </c>
      <c r="E75" s="28">
        <v>46412</v>
      </c>
      <c r="F75" s="27" t="s">
        <v>421</v>
      </c>
      <c r="G75" s="27">
        <v>1</v>
      </c>
      <c r="H75" s="27" t="s">
        <v>110</v>
      </c>
      <c r="I75" s="27" t="s">
        <v>893</v>
      </c>
      <c r="J75" s="27" t="s">
        <v>894</v>
      </c>
      <c r="K75" s="27" t="s">
        <v>895</v>
      </c>
      <c r="L75" s="27" t="s">
        <v>896</v>
      </c>
      <c r="M75" s="27" t="s">
        <v>212</v>
      </c>
      <c r="N75" s="27" t="s">
        <v>897</v>
      </c>
      <c r="O75" s="27" t="s">
        <v>391</v>
      </c>
      <c r="P75" s="27" t="s">
        <v>507</v>
      </c>
      <c r="Q75" s="27" t="s">
        <v>898</v>
      </c>
      <c r="R75" s="27" t="s">
        <v>899</v>
      </c>
      <c r="S75" s="27" t="s">
        <v>431</v>
      </c>
      <c r="T75" s="27" t="str">
        <f>'WBS'!J90</f>
        <v>Not Started</v>
      </c>
      <c r="U75" s="27" t="s">
        <v>432</v>
      </c>
    </row>
    <row r="76" spans="1:21" ht="62.25" customHeight="1">
      <c r="A76" s="36" t="s">
        <v>397</v>
      </c>
      <c r="B76" s="29" t="s">
        <v>51</v>
      </c>
      <c r="C76" s="29" t="s">
        <v>398</v>
      </c>
      <c r="D76" s="30">
        <v>46413</v>
      </c>
      <c r="E76" s="30">
        <v>46413</v>
      </c>
      <c r="F76" s="29" t="s">
        <v>421</v>
      </c>
      <c r="G76" s="29">
        <v>0.5</v>
      </c>
      <c r="H76" s="29" t="s">
        <v>110</v>
      </c>
      <c r="I76" s="29" t="s">
        <v>900</v>
      </c>
      <c r="J76" s="29" t="s">
        <v>901</v>
      </c>
      <c r="K76" s="29" t="s">
        <v>902</v>
      </c>
      <c r="L76" s="29" t="s">
        <v>903</v>
      </c>
      <c r="M76" s="29" t="s">
        <v>904</v>
      </c>
      <c r="N76" s="29" t="s">
        <v>905</v>
      </c>
      <c r="O76" s="29" t="s">
        <v>394</v>
      </c>
      <c r="P76" s="29" t="s">
        <v>906</v>
      </c>
      <c r="Q76" s="29" t="s">
        <v>907</v>
      </c>
      <c r="R76" s="29" t="s">
        <v>908</v>
      </c>
      <c r="S76" s="29" t="s">
        <v>431</v>
      </c>
      <c r="T76" s="29" t="str">
        <f>'WBS'!J91</f>
        <v>Not Started</v>
      </c>
      <c r="U76" s="29" t="s">
        <v>432</v>
      </c>
    </row>
    <row r="77" spans="1:21" ht="62.25" customHeight="1">
      <c r="A77" s="35" t="s">
        <v>400</v>
      </c>
      <c r="B77" s="27" t="s">
        <v>51</v>
      </c>
      <c r="C77" s="27" t="s">
        <v>401</v>
      </c>
      <c r="D77" s="28">
        <v>46413</v>
      </c>
      <c r="E77" s="28">
        <v>46414</v>
      </c>
      <c r="F77" s="27" t="s">
        <v>433</v>
      </c>
      <c r="G77" s="27">
        <v>1</v>
      </c>
      <c r="H77" s="27" t="s">
        <v>110</v>
      </c>
      <c r="I77" s="27" t="s">
        <v>909</v>
      </c>
      <c r="J77" s="27" t="s">
        <v>910</v>
      </c>
      <c r="K77" s="27" t="s">
        <v>911</v>
      </c>
      <c r="L77" s="27" t="s">
        <v>912</v>
      </c>
      <c r="M77" s="27" t="s">
        <v>426</v>
      </c>
      <c r="N77" s="27" t="s">
        <v>913</v>
      </c>
      <c r="O77" s="27" t="s">
        <v>397</v>
      </c>
      <c r="P77" s="27" t="s">
        <v>567</v>
      </c>
      <c r="Q77" s="27" t="s">
        <v>914</v>
      </c>
      <c r="R77" s="27" t="s">
        <v>915</v>
      </c>
      <c r="S77" s="27" t="s">
        <v>431</v>
      </c>
      <c r="T77" s="27" t="str">
        <f>'WBS'!J92</f>
        <v>Not Started</v>
      </c>
      <c r="U77" s="27" t="s">
        <v>432</v>
      </c>
    </row>
    <row r="78" spans="1:21" ht="62.25" customHeight="1">
      <c r="A78" s="36" t="s">
        <v>137</v>
      </c>
      <c r="B78" s="29" t="s">
        <v>51</v>
      </c>
      <c r="C78" s="29" t="s">
        <v>138</v>
      </c>
      <c r="D78" s="30">
        <v>46414</v>
      </c>
      <c r="E78" s="30">
        <v>46414</v>
      </c>
      <c r="F78" s="29" t="s">
        <v>433</v>
      </c>
      <c r="G78" s="29">
        <v>0.5</v>
      </c>
      <c r="H78" s="29" t="s">
        <v>110</v>
      </c>
      <c r="I78" s="29" t="s">
        <v>461</v>
      </c>
      <c r="J78" s="29" t="s">
        <v>916</v>
      </c>
      <c r="K78" s="29" t="s">
        <v>463</v>
      </c>
      <c r="L78" s="29" t="s">
        <v>917</v>
      </c>
      <c r="M78" s="29" t="s">
        <v>426</v>
      </c>
      <c r="N78" s="29" t="s">
        <v>465</v>
      </c>
      <c r="O78" s="29" t="s">
        <v>400</v>
      </c>
      <c r="Q78" s="29" t="s">
        <v>918</v>
      </c>
      <c r="R78" s="29" t="s">
        <v>919</v>
      </c>
      <c r="S78" s="29" t="s">
        <v>10</v>
      </c>
      <c r="T78" s="29" t="str">
        <f>'WBS'!J93</f>
        <v>Not Started</v>
      </c>
      <c r="U78" s="29" t="s">
        <v>432</v>
      </c>
    </row>
    <row r="79" spans="1:21" ht="45.75" customHeight="1">
      <c r="A79" s="35" t="s">
        <v>403</v>
      </c>
      <c r="B79" s="27" t="s">
        <v>51</v>
      </c>
      <c r="C79" s="27" t="s">
        <v>232</v>
      </c>
      <c r="D79" s="28">
        <v>46415</v>
      </c>
      <c r="E79" s="28">
        <v>46416</v>
      </c>
      <c r="F79" s="27" t="s">
        <v>421</v>
      </c>
      <c r="G79" s="27">
        <v>2</v>
      </c>
      <c r="H79" s="27" t="s">
        <v>110</v>
      </c>
      <c r="I79" s="27" t="s">
        <v>468</v>
      </c>
      <c r="J79" s="27" t="s">
        <v>469</v>
      </c>
      <c r="K79" s="27" t="s">
        <v>470</v>
      </c>
      <c r="L79" s="27" t="s">
        <v>471</v>
      </c>
      <c r="M79" s="27" t="s">
        <v>426</v>
      </c>
      <c r="N79" s="27" t="s">
        <v>472</v>
      </c>
      <c r="O79" s="27" t="s">
        <v>473</v>
      </c>
      <c r="Q79" s="27" t="s">
        <v>474</v>
      </c>
      <c r="R79" s="27" t="s">
        <v>475</v>
      </c>
      <c r="S79" s="27" t="s">
        <v>476</v>
      </c>
      <c r="T79" s="27" t="str">
        <f>'WBS'!J94</f>
        <v>Contingency</v>
      </c>
      <c r="U79" s="27" t="s">
        <v>432</v>
      </c>
    </row>
  </sheetData>
  <autoFilter ref="A4:U79"/>
  <mergeCells count="2">
    <mergeCell ref="A1:J1"/>
    <mergeCell ref="A2:J2"/>
  </mergeCells>
  <hyperlinks>
    <hyperlink ref="A3" location="'Cover Page'!A1" display="← Cover Page"/>
    <hyperlink ref="A5" location="'WBS'!D12" display="M0.1"/>
    <hyperlink ref="A6" location="'WBS'!D13" display="M0.2"/>
    <hyperlink ref="A7" location="'WBS'!D14" display="M0.3"/>
    <hyperlink ref="A8" location="'WBS'!D15" display="M0.4"/>
    <hyperlink ref="A9" location="'WBS'!D16" display="M0.G"/>
    <hyperlink ref="A10" location="'WBS'!D17" display="M0.B"/>
    <hyperlink ref="A11" location="'WBS'!D19" display="M1.1"/>
    <hyperlink ref="A12" location="'WBS'!D20" display="M1.2"/>
    <hyperlink ref="A13" location="'WBS'!D21" display="M1.3"/>
    <hyperlink ref="A14" location="'WBS'!D22" display="M1.4"/>
    <hyperlink ref="A15" location="'WBS'!D23" display="M1.G"/>
    <hyperlink ref="A16" location="'WBS'!D24" display="M1.B"/>
    <hyperlink ref="A17" location="'WBS'!D26" display="M2.1"/>
    <hyperlink ref="A18" location="'WBS'!D27" display="M2.2"/>
    <hyperlink ref="A19" location="'WBS'!D28" display="M2.3"/>
    <hyperlink ref="A20" location="'WBS'!D29" display="M2.4"/>
    <hyperlink ref="A21" location="'WBS'!D30" display="M2.5"/>
    <hyperlink ref="A22" location="'WBS'!D31" display="M2.6"/>
    <hyperlink ref="A23" location="'WBS'!D32" display="M2.7"/>
    <hyperlink ref="A24" location="'WBS'!D33" display="M2.8"/>
    <hyperlink ref="A25" location="'WBS'!D34" display="M2.G"/>
    <hyperlink ref="A26" location="'WBS'!D35" display="M2.B"/>
    <hyperlink ref="A27" location="'WBS'!D37" display="M3.1"/>
    <hyperlink ref="A28" location="'WBS'!D38" display="M3.2"/>
    <hyperlink ref="A29" location="'WBS'!D39" display="M3.3"/>
    <hyperlink ref="A30" location="'WBS'!D40" display="M3.4"/>
    <hyperlink ref="A31" location="'WBS'!D41" display="M3.5"/>
    <hyperlink ref="A32" location="'WBS'!D42" display="M3.6"/>
    <hyperlink ref="A33" location="'WBS'!D43" display="M3.7"/>
    <hyperlink ref="A34" location="'WBS'!D44" display="M3.8"/>
    <hyperlink ref="A35" location="'WBS'!D45" display="M3.G"/>
    <hyperlink ref="A36" location="'WBS'!D46" display="M3.B"/>
    <hyperlink ref="A37" location="'WBS'!D48" display="M4.1"/>
    <hyperlink ref="A38" location="'WBS'!D49" display="M4.2"/>
    <hyperlink ref="A39" location="'WBS'!D50" display="M4.3"/>
    <hyperlink ref="A40" location="'WBS'!D51" display="M4.4"/>
    <hyperlink ref="A41" location="'WBS'!D52" display="M4.5"/>
    <hyperlink ref="A42" location="'WBS'!D53" display="M4.6"/>
    <hyperlink ref="A43" location="'WBS'!D54" display="M4.7"/>
    <hyperlink ref="A44" location="'WBS'!D55" display="M4.G"/>
    <hyperlink ref="A45" location="'WBS'!D56" display="M4.B"/>
    <hyperlink ref="A46" location="'WBS'!D58" display="M5.1"/>
    <hyperlink ref="A47" location="'WBS'!D59" display="M5.2"/>
    <hyperlink ref="A48" location="'WBS'!D60" display="M5.3"/>
    <hyperlink ref="A49" location="'WBS'!D61" display="M5.4"/>
    <hyperlink ref="A50" location="'WBS'!D62" display="M5.G"/>
    <hyperlink ref="A51" location="'WBS'!D63" display="M5.B"/>
    <hyperlink ref="A52" location="'WBS'!D65" display="M6.1"/>
    <hyperlink ref="A53" location="'WBS'!D66" display="M6.2"/>
    <hyperlink ref="A54" location="'WBS'!D67" display="M6.3"/>
    <hyperlink ref="A55" location="'WBS'!D68" display="M6.4"/>
    <hyperlink ref="A56" location="'WBS'!D69" display="M6.5"/>
    <hyperlink ref="A57" location="'WBS'!D70" display="M6.6"/>
    <hyperlink ref="A58" location="'WBS'!D71" display="M6.7"/>
    <hyperlink ref="A59" location="'WBS'!D72" display="M6.8"/>
    <hyperlink ref="A60" location="'WBS'!D73" display="M6.9"/>
    <hyperlink ref="A61" location="'WBS'!D74" display="M6.G"/>
    <hyperlink ref="A62" location="'WBS'!D75" display="M6.B"/>
    <hyperlink ref="A63" location="'WBS'!D77" display="M7.1"/>
    <hyperlink ref="A64" location="'WBS'!D78" display="M7.2"/>
    <hyperlink ref="A65" location="'WBS'!D79" display="M7.3"/>
    <hyperlink ref="A66" location="'WBS'!D80" display="M7.4"/>
    <hyperlink ref="A67" location="'WBS'!D81" display="M7.5"/>
    <hyperlink ref="A68" location="'WBS'!D82" display="M7.G"/>
    <hyperlink ref="A69" location="'WBS'!D83" display="M7.B"/>
    <hyperlink ref="A70" location="'WBS'!D85" display="M8.1"/>
    <hyperlink ref="A71" location="'WBS'!D86" display="M8.2"/>
    <hyperlink ref="A72" location="'WBS'!D87" display="M8.3"/>
    <hyperlink ref="A73" location="'WBS'!D88" display="M8.4"/>
    <hyperlink ref="A74" location="'WBS'!D89" display="M8.5"/>
    <hyperlink ref="A75" location="'WBS'!D90" display="M8.6"/>
    <hyperlink ref="A76" location="'WBS'!D91" display="M8.7"/>
    <hyperlink ref="A77" location="'WBS'!D92" display="M8.8"/>
    <hyperlink ref="A78" location="'WBS'!D93" display="M8.G"/>
    <hyperlink ref="A79" location="'WBS'!D94" display="M8.B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J18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3" width="15.7109375" customWidth="1"/>
    <col min="4" max="4" width="25.7109375" customWidth="1"/>
    <col min="5" max="7" width="18.7109375" customWidth="1"/>
    <col min="8" max="8" width="22.7109375" customWidth="1"/>
    <col min="9" max="9" width="75.7109375" customWidth="1"/>
    <col min="10" max="10" width="32.7109375" customWidth="1"/>
  </cols>
  <sheetData>
    <row r="1" spans="1:10" ht="36" customHeight="1">
      <c r="A1" s="7" t="s">
        <v>920</v>
      </c>
      <c r="B1" s="7"/>
      <c r="C1" s="7"/>
      <c r="D1" s="7"/>
      <c r="E1" s="7"/>
      <c r="F1" s="7"/>
      <c r="G1" s="7"/>
      <c r="H1" s="7"/>
      <c r="I1" s="7"/>
      <c r="J1" s="7"/>
    </row>
    <row r="2" spans="1:10" ht="36" customHeight="1">
      <c r="A2" s="8" t="s">
        <v>921</v>
      </c>
      <c r="B2" s="8"/>
      <c r="C2" s="8"/>
      <c r="D2" s="8"/>
      <c r="E2" s="8"/>
      <c r="F2" s="8"/>
      <c r="G2" s="8"/>
      <c r="H2" s="8"/>
      <c r="I2" s="8"/>
      <c r="J2" s="8"/>
    </row>
    <row r="3" spans="1:10">
      <c r="A3" s="9" t="s">
        <v>79</v>
      </c>
    </row>
    <row r="4" spans="1:10" ht="33.75" customHeight="1">
      <c r="A4" s="26" t="s">
        <v>9</v>
      </c>
      <c r="B4" s="26" t="s">
        <v>922</v>
      </c>
      <c r="C4" s="26" t="s">
        <v>923</v>
      </c>
      <c r="D4" s="26" t="s">
        <v>924</v>
      </c>
      <c r="E4" s="26" t="s">
        <v>925</v>
      </c>
      <c r="F4" s="26" t="s">
        <v>926</v>
      </c>
      <c r="G4" s="26" t="s">
        <v>927</v>
      </c>
      <c r="H4" s="26" t="s">
        <v>928</v>
      </c>
      <c r="I4" s="26" t="s">
        <v>929</v>
      </c>
      <c r="J4" s="26" t="s">
        <v>930</v>
      </c>
    </row>
    <row r="5" spans="1:10" ht="35.25" customHeight="1">
      <c r="A5" s="27" t="s">
        <v>89</v>
      </c>
      <c r="B5" s="28">
        <v>46321</v>
      </c>
      <c r="C5" s="28">
        <v>46325</v>
      </c>
      <c r="D5" s="27" t="s">
        <v>110</v>
      </c>
      <c r="E5" s="27">
        <v>4</v>
      </c>
      <c r="F5" s="27">
        <v>1</v>
      </c>
      <c r="G5" s="27">
        <v>0</v>
      </c>
      <c r="H5" s="27">
        <v>5</v>
      </c>
      <c r="I5" s="27" t="s">
        <v>931</v>
      </c>
      <c r="J5" s="27" t="s">
        <v>932</v>
      </c>
    </row>
    <row r="6" spans="1:10" ht="35.25" customHeight="1">
      <c r="A6" s="29" t="s">
        <v>90</v>
      </c>
      <c r="B6" s="30">
        <v>46328</v>
      </c>
      <c r="C6" s="30">
        <v>46332</v>
      </c>
      <c r="D6" s="29" t="s">
        <v>110</v>
      </c>
      <c r="E6" s="29">
        <v>4</v>
      </c>
      <c r="F6" s="29">
        <v>1</v>
      </c>
      <c r="G6" s="29">
        <v>0</v>
      </c>
      <c r="H6" s="29">
        <v>5</v>
      </c>
      <c r="I6" s="29" t="s">
        <v>933</v>
      </c>
      <c r="J6" s="29" t="s">
        <v>932</v>
      </c>
    </row>
    <row r="7" spans="1:10" ht="35.25" customHeight="1">
      <c r="A7" s="27" t="s">
        <v>91</v>
      </c>
      <c r="B7" s="28">
        <v>46335</v>
      </c>
      <c r="C7" s="28">
        <v>46339</v>
      </c>
      <c r="D7" s="27" t="s">
        <v>110</v>
      </c>
      <c r="E7" s="27">
        <v>5</v>
      </c>
      <c r="F7" s="27">
        <v>0</v>
      </c>
      <c r="G7" s="27">
        <v>0</v>
      </c>
      <c r="H7" s="27">
        <v>5</v>
      </c>
      <c r="I7" s="27" t="s">
        <v>934</v>
      </c>
      <c r="J7" s="27" t="s">
        <v>932</v>
      </c>
    </row>
    <row r="8" spans="1:10" ht="35.25" customHeight="1">
      <c r="A8" s="29" t="s">
        <v>92</v>
      </c>
      <c r="B8" s="30">
        <v>46342</v>
      </c>
      <c r="C8" s="30">
        <v>46346</v>
      </c>
      <c r="D8" s="29" t="s">
        <v>110</v>
      </c>
      <c r="E8" s="29">
        <v>4</v>
      </c>
      <c r="F8" s="29">
        <v>1</v>
      </c>
      <c r="G8" s="29">
        <v>0</v>
      </c>
      <c r="H8" s="29">
        <v>5</v>
      </c>
      <c r="I8" s="29" t="s">
        <v>935</v>
      </c>
      <c r="J8" s="29" t="s">
        <v>932</v>
      </c>
    </row>
    <row r="9" spans="1:10" ht="35.25" customHeight="1">
      <c r="A9" s="27" t="s">
        <v>93</v>
      </c>
      <c r="B9" s="28">
        <v>46349</v>
      </c>
      <c r="C9" s="28">
        <v>46353</v>
      </c>
      <c r="D9" s="27" t="s">
        <v>110</v>
      </c>
      <c r="E9" s="27">
        <v>5</v>
      </c>
      <c r="F9" s="27">
        <v>0</v>
      </c>
      <c r="G9" s="27">
        <v>0</v>
      </c>
      <c r="H9" s="27">
        <v>5</v>
      </c>
      <c r="I9" s="27" t="s">
        <v>936</v>
      </c>
      <c r="J9" s="27" t="s">
        <v>932</v>
      </c>
    </row>
    <row r="10" spans="1:10" ht="35.25" customHeight="1">
      <c r="A10" s="29" t="s">
        <v>94</v>
      </c>
      <c r="B10" s="30">
        <v>46356</v>
      </c>
      <c r="C10" s="30">
        <v>46360</v>
      </c>
      <c r="D10" s="29" t="s">
        <v>110</v>
      </c>
      <c r="E10" s="29">
        <v>4</v>
      </c>
      <c r="F10" s="29">
        <v>1</v>
      </c>
      <c r="G10" s="29">
        <v>0</v>
      </c>
      <c r="H10" s="29">
        <v>5</v>
      </c>
      <c r="I10" s="29" t="s">
        <v>937</v>
      </c>
      <c r="J10" s="29" t="s">
        <v>932</v>
      </c>
    </row>
    <row r="11" spans="1:10" ht="35.25" customHeight="1">
      <c r="A11" s="27" t="s">
        <v>95</v>
      </c>
      <c r="B11" s="28">
        <v>46363</v>
      </c>
      <c r="C11" s="28">
        <v>46367</v>
      </c>
      <c r="D11" s="27" t="s">
        <v>110</v>
      </c>
      <c r="E11" s="27">
        <v>5</v>
      </c>
      <c r="F11" s="27">
        <v>0</v>
      </c>
      <c r="G11" s="27">
        <v>0</v>
      </c>
      <c r="H11" s="27">
        <v>5</v>
      </c>
      <c r="I11" s="27" t="s">
        <v>938</v>
      </c>
      <c r="J11" s="27" t="s">
        <v>932</v>
      </c>
    </row>
    <row r="12" spans="1:10" ht="35.25" customHeight="1">
      <c r="A12" s="29" t="s">
        <v>96</v>
      </c>
      <c r="B12" s="30">
        <v>46370</v>
      </c>
      <c r="C12" s="30">
        <v>46374</v>
      </c>
      <c r="D12" s="29" t="s">
        <v>110</v>
      </c>
      <c r="E12" s="29">
        <v>4</v>
      </c>
      <c r="F12" s="29">
        <v>1</v>
      </c>
      <c r="G12" s="29">
        <v>0</v>
      </c>
      <c r="H12" s="29">
        <v>5</v>
      </c>
      <c r="I12" s="29" t="s">
        <v>939</v>
      </c>
      <c r="J12" s="29" t="s">
        <v>932</v>
      </c>
    </row>
    <row r="13" spans="1:10" ht="35.25" customHeight="1">
      <c r="A13" s="27" t="s">
        <v>97</v>
      </c>
      <c r="B13" s="28">
        <v>46377</v>
      </c>
      <c r="C13" s="28">
        <v>46381</v>
      </c>
      <c r="D13" s="27" t="s">
        <v>110</v>
      </c>
      <c r="E13" s="27">
        <v>4</v>
      </c>
      <c r="F13" s="27">
        <v>1</v>
      </c>
      <c r="G13" s="27">
        <v>0</v>
      </c>
      <c r="H13" s="27">
        <v>5</v>
      </c>
      <c r="I13" s="27" t="s">
        <v>940</v>
      </c>
      <c r="J13" s="27" t="s">
        <v>932</v>
      </c>
    </row>
    <row r="14" spans="1:10" ht="35.25" customHeight="1">
      <c r="A14" s="29" t="s">
        <v>98</v>
      </c>
      <c r="B14" s="30">
        <v>46384</v>
      </c>
      <c r="C14" s="30">
        <v>46388</v>
      </c>
      <c r="D14" s="29" t="s">
        <v>110</v>
      </c>
      <c r="E14" s="29">
        <v>4</v>
      </c>
      <c r="F14" s="29">
        <v>0</v>
      </c>
      <c r="G14" s="29">
        <v>1</v>
      </c>
      <c r="H14" s="29">
        <v>5</v>
      </c>
      <c r="I14" s="29" t="s">
        <v>941</v>
      </c>
      <c r="J14" s="29" t="s">
        <v>932</v>
      </c>
    </row>
    <row r="15" spans="1:10" ht="35.25" customHeight="1">
      <c r="A15" s="27" t="s">
        <v>99</v>
      </c>
      <c r="B15" s="28">
        <v>46391</v>
      </c>
      <c r="C15" s="28">
        <v>46395</v>
      </c>
      <c r="D15" s="27" t="s">
        <v>110</v>
      </c>
      <c r="E15" s="27">
        <v>5</v>
      </c>
      <c r="F15" s="27">
        <v>0</v>
      </c>
      <c r="G15" s="27">
        <v>0</v>
      </c>
      <c r="H15" s="27">
        <v>5</v>
      </c>
      <c r="I15" s="27" t="s">
        <v>942</v>
      </c>
      <c r="J15" s="27" t="s">
        <v>932</v>
      </c>
    </row>
    <row r="16" spans="1:10" ht="35.25" customHeight="1">
      <c r="A16" s="29" t="s">
        <v>100</v>
      </c>
      <c r="B16" s="30">
        <v>46398</v>
      </c>
      <c r="C16" s="30">
        <v>46402</v>
      </c>
      <c r="D16" s="29" t="s">
        <v>110</v>
      </c>
      <c r="E16" s="29">
        <v>4</v>
      </c>
      <c r="F16" s="29">
        <v>1</v>
      </c>
      <c r="G16" s="29">
        <v>0</v>
      </c>
      <c r="H16" s="29">
        <v>5</v>
      </c>
      <c r="I16" s="29" t="s">
        <v>943</v>
      </c>
      <c r="J16" s="29" t="s">
        <v>932</v>
      </c>
    </row>
    <row r="17" spans="1:10" ht="35.25" customHeight="1">
      <c r="A17" s="27" t="s">
        <v>101</v>
      </c>
      <c r="B17" s="28">
        <v>46405</v>
      </c>
      <c r="C17" s="28">
        <v>46409</v>
      </c>
      <c r="D17" s="27" t="s">
        <v>110</v>
      </c>
      <c r="E17" s="27">
        <v>5</v>
      </c>
      <c r="F17" s="27">
        <v>0</v>
      </c>
      <c r="G17" s="27">
        <v>0</v>
      </c>
      <c r="H17" s="27">
        <v>5</v>
      </c>
      <c r="I17" s="27" t="s">
        <v>944</v>
      </c>
      <c r="J17" s="27" t="s">
        <v>932</v>
      </c>
    </row>
    <row r="18" spans="1:10" ht="35.25" customHeight="1">
      <c r="A18" s="29" t="s">
        <v>102</v>
      </c>
      <c r="B18" s="30">
        <v>46412</v>
      </c>
      <c r="C18" s="30">
        <v>46416</v>
      </c>
      <c r="D18" s="29" t="s">
        <v>110</v>
      </c>
      <c r="E18" s="29">
        <v>3</v>
      </c>
      <c r="F18" s="29">
        <v>2</v>
      </c>
      <c r="G18" s="29">
        <v>0</v>
      </c>
      <c r="H18" s="29">
        <v>5</v>
      </c>
      <c r="I18" s="29" t="s">
        <v>945</v>
      </c>
      <c r="J18" s="29" t="s">
        <v>932</v>
      </c>
    </row>
  </sheetData>
  <autoFilter ref="A4:J18"/>
  <mergeCells count="2">
    <mergeCell ref="A1:J1"/>
    <mergeCell ref="A2:J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L1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38.7109375" customWidth="1"/>
    <col min="3" max="3" width="30.7109375" customWidth="1"/>
    <col min="4" max="4" width="42.7109375" customWidth="1"/>
    <col min="5" max="5" width="55.7109375" customWidth="1"/>
    <col min="6" max="6" width="58.7109375" customWidth="1"/>
    <col min="7" max="7" width="75.7109375" customWidth="1"/>
    <col min="8" max="8" width="65.7109375" customWidth="1"/>
    <col min="9" max="10" width="58.7109375" customWidth="1"/>
    <col min="11" max="11" width="40.7109375" customWidth="1"/>
    <col min="12" max="12" width="80.7109375" customWidth="1"/>
  </cols>
  <sheetData>
    <row r="1" spans="1:12" ht="36" customHeight="1">
      <c r="A1" s="7" t="s">
        <v>946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>
      <c r="A2" s="8" t="s">
        <v>947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>
      <c r="A3" s="9" t="s">
        <v>79</v>
      </c>
    </row>
    <row r="4" spans="1:12" ht="33.75" customHeight="1">
      <c r="A4" s="26" t="s">
        <v>948</v>
      </c>
      <c r="B4" s="26" t="s">
        <v>949</v>
      </c>
      <c r="C4" s="26" t="s">
        <v>6</v>
      </c>
      <c r="D4" s="26" t="s">
        <v>950</v>
      </c>
      <c r="E4" s="26" t="s">
        <v>145</v>
      </c>
      <c r="F4" s="26" t="s">
        <v>951</v>
      </c>
      <c r="G4" s="26" t="s">
        <v>952</v>
      </c>
      <c r="H4" s="26" t="s">
        <v>953</v>
      </c>
      <c r="I4" s="26" t="s">
        <v>148</v>
      </c>
      <c r="J4" s="26" t="s">
        <v>954</v>
      </c>
      <c r="K4" s="26" t="s">
        <v>955</v>
      </c>
      <c r="L4" s="26" t="s">
        <v>956</v>
      </c>
    </row>
    <row r="5" spans="1:12" ht="45.75" customHeight="1">
      <c r="A5" s="27" t="s">
        <v>551</v>
      </c>
      <c r="B5" s="27" t="s">
        <v>957</v>
      </c>
      <c r="C5" s="27" t="s">
        <v>958</v>
      </c>
      <c r="D5" s="27" t="s">
        <v>959</v>
      </c>
      <c r="E5" s="27" t="s">
        <v>960</v>
      </c>
      <c r="F5" s="27" t="s">
        <v>961</v>
      </c>
      <c r="G5" s="27" t="s">
        <v>962</v>
      </c>
      <c r="H5" s="27" t="s">
        <v>963</v>
      </c>
      <c r="I5" s="27" t="s">
        <v>964</v>
      </c>
      <c r="J5" s="27" t="s">
        <v>965</v>
      </c>
      <c r="K5" s="27" t="s">
        <v>966</v>
      </c>
      <c r="L5" s="27" t="s">
        <v>967</v>
      </c>
    </row>
    <row r="6" spans="1:12" ht="45.75" customHeight="1">
      <c r="A6" s="29" t="s">
        <v>481</v>
      </c>
      <c r="B6" s="29" t="s">
        <v>968</v>
      </c>
      <c r="C6" s="29" t="s">
        <v>969</v>
      </c>
      <c r="D6" s="29" t="s">
        <v>970</v>
      </c>
      <c r="E6" s="29" t="s">
        <v>971</v>
      </c>
      <c r="F6" s="29" t="s">
        <v>972</v>
      </c>
      <c r="G6" s="29" t="s">
        <v>973</v>
      </c>
      <c r="H6" s="29" t="s">
        <v>974</v>
      </c>
      <c r="I6" s="29" t="s">
        <v>975</v>
      </c>
      <c r="J6" s="29" t="s">
        <v>976</v>
      </c>
      <c r="K6" s="29" t="s">
        <v>426</v>
      </c>
      <c r="L6" s="29" t="s">
        <v>977</v>
      </c>
    </row>
    <row r="7" spans="1:12" ht="45.75" customHeight="1">
      <c r="A7" s="27" t="s">
        <v>542</v>
      </c>
      <c r="B7" s="27" t="s">
        <v>978</v>
      </c>
      <c r="C7" s="27" t="s">
        <v>979</v>
      </c>
      <c r="D7" s="27" t="s">
        <v>980</v>
      </c>
      <c r="E7" s="27" t="s">
        <v>981</v>
      </c>
      <c r="F7" s="27" t="s">
        <v>982</v>
      </c>
      <c r="G7" s="27" t="s">
        <v>983</v>
      </c>
      <c r="H7" s="27" t="s">
        <v>984</v>
      </c>
      <c r="I7" s="27" t="s">
        <v>985</v>
      </c>
      <c r="J7" s="27" t="s">
        <v>986</v>
      </c>
      <c r="K7" s="27" t="s">
        <v>987</v>
      </c>
      <c r="L7" s="27" t="s">
        <v>988</v>
      </c>
    </row>
    <row r="8" spans="1:12" ht="45.75" customHeight="1">
      <c r="A8" s="29" t="s">
        <v>518</v>
      </c>
      <c r="B8" s="29" t="s">
        <v>989</v>
      </c>
      <c r="C8" s="29" t="s">
        <v>990</v>
      </c>
      <c r="D8" s="29" t="s">
        <v>970</v>
      </c>
      <c r="E8" s="29" t="s">
        <v>991</v>
      </c>
      <c r="F8" s="29" t="s">
        <v>992</v>
      </c>
      <c r="G8" s="29" t="s">
        <v>993</v>
      </c>
      <c r="H8" s="29" t="s">
        <v>994</v>
      </c>
      <c r="I8" s="29" t="s">
        <v>995</v>
      </c>
      <c r="J8" s="29" t="s">
        <v>996</v>
      </c>
      <c r="K8" s="29" t="s">
        <v>997</v>
      </c>
      <c r="L8" s="29" t="s">
        <v>998</v>
      </c>
    </row>
    <row r="9" spans="1:12" ht="45.75" customHeight="1">
      <c r="A9" s="27" t="s">
        <v>592</v>
      </c>
      <c r="B9" s="27" t="s">
        <v>999</v>
      </c>
      <c r="C9" s="27" t="s">
        <v>26</v>
      </c>
      <c r="D9" s="27" t="s">
        <v>980</v>
      </c>
      <c r="E9" s="27" t="s">
        <v>1000</v>
      </c>
      <c r="F9" s="27" t="s">
        <v>1001</v>
      </c>
      <c r="G9" s="27" t="s">
        <v>1002</v>
      </c>
      <c r="H9" s="27" t="s">
        <v>1003</v>
      </c>
      <c r="I9" s="27" t="s">
        <v>1004</v>
      </c>
      <c r="J9" s="27" t="s">
        <v>1005</v>
      </c>
      <c r="K9" s="27" t="s">
        <v>426</v>
      </c>
      <c r="L9" s="27" t="s">
        <v>1006</v>
      </c>
    </row>
    <row r="10" spans="1:12" ht="45.75" customHeight="1">
      <c r="A10" s="29" t="s">
        <v>600</v>
      </c>
      <c r="B10" s="29" t="s">
        <v>1007</v>
      </c>
      <c r="C10" s="29" t="s">
        <v>1008</v>
      </c>
      <c r="D10" s="29" t="s">
        <v>1009</v>
      </c>
      <c r="E10" s="29" t="s">
        <v>1010</v>
      </c>
      <c r="F10" s="29" t="s">
        <v>1011</v>
      </c>
      <c r="G10" s="29" t="s">
        <v>1012</v>
      </c>
      <c r="H10" s="29" t="s">
        <v>1013</v>
      </c>
      <c r="I10" s="29" t="s">
        <v>1014</v>
      </c>
      <c r="J10" s="29" t="s">
        <v>1015</v>
      </c>
      <c r="K10" s="29" t="s">
        <v>1016</v>
      </c>
      <c r="L10" s="29" t="s">
        <v>1017</v>
      </c>
    </row>
    <row r="11" spans="1:12" ht="45.75" customHeight="1">
      <c r="A11" s="27" t="s">
        <v>654</v>
      </c>
      <c r="B11" s="27" t="s">
        <v>1018</v>
      </c>
      <c r="C11" s="27" t="s">
        <v>1019</v>
      </c>
      <c r="D11" s="27" t="s">
        <v>1020</v>
      </c>
      <c r="E11" s="27" t="s">
        <v>1021</v>
      </c>
      <c r="F11" s="27" t="s">
        <v>1022</v>
      </c>
      <c r="G11" s="27" t="s">
        <v>1023</v>
      </c>
      <c r="H11" s="27" t="s">
        <v>1024</v>
      </c>
      <c r="I11" s="27" t="s">
        <v>1025</v>
      </c>
      <c r="J11" s="27" t="s">
        <v>1026</v>
      </c>
      <c r="K11" s="27" t="s">
        <v>1027</v>
      </c>
      <c r="L11" s="27" t="s">
        <v>1028</v>
      </c>
    </row>
    <row r="12" spans="1:12" ht="45.75" customHeight="1">
      <c r="A12" s="29" t="s">
        <v>744</v>
      </c>
      <c r="B12" s="29" t="s">
        <v>1029</v>
      </c>
      <c r="C12" s="29" t="s">
        <v>1030</v>
      </c>
      <c r="D12" s="29" t="s">
        <v>1031</v>
      </c>
      <c r="E12" s="29" t="s">
        <v>1032</v>
      </c>
      <c r="F12" s="29" t="s">
        <v>1033</v>
      </c>
      <c r="G12" s="29" t="s">
        <v>1034</v>
      </c>
      <c r="H12" s="29" t="s">
        <v>1035</v>
      </c>
      <c r="I12" s="29" t="s">
        <v>1036</v>
      </c>
      <c r="J12" s="29" t="s">
        <v>1037</v>
      </c>
      <c r="K12" s="29" t="s">
        <v>1038</v>
      </c>
      <c r="L12" s="29" t="s">
        <v>1039</v>
      </c>
    </row>
    <row r="13" spans="1:12" ht="45.75" customHeight="1">
      <c r="A13" s="27" t="s">
        <v>709</v>
      </c>
      <c r="B13" s="27" t="s">
        <v>1040</v>
      </c>
      <c r="C13" s="27" t="s">
        <v>1041</v>
      </c>
      <c r="D13" s="27" t="s">
        <v>1042</v>
      </c>
      <c r="E13" s="27" t="s">
        <v>1043</v>
      </c>
      <c r="F13" s="27" t="s">
        <v>1044</v>
      </c>
      <c r="G13" s="27" t="s">
        <v>1045</v>
      </c>
      <c r="H13" s="27" t="s">
        <v>1046</v>
      </c>
      <c r="I13" s="27" t="s">
        <v>1047</v>
      </c>
      <c r="J13" s="27" t="s">
        <v>1048</v>
      </c>
      <c r="K13" s="27" t="s">
        <v>1049</v>
      </c>
      <c r="L13" s="27" t="s">
        <v>1050</v>
      </c>
    </row>
    <row r="14" spans="1:12" ht="45.75" customHeight="1">
      <c r="A14" s="29" t="s">
        <v>717</v>
      </c>
      <c r="B14" s="29" t="s">
        <v>1051</v>
      </c>
      <c r="C14" s="29" t="s">
        <v>1052</v>
      </c>
      <c r="D14" s="29" t="s">
        <v>1042</v>
      </c>
      <c r="E14" s="29" t="s">
        <v>1053</v>
      </c>
      <c r="F14" s="29" t="s">
        <v>1054</v>
      </c>
      <c r="G14" s="29" t="s">
        <v>1055</v>
      </c>
      <c r="H14" s="29" t="s">
        <v>1056</v>
      </c>
      <c r="I14" s="29" t="s">
        <v>718</v>
      </c>
      <c r="J14" s="29" t="s">
        <v>1057</v>
      </c>
      <c r="K14" s="29" t="s">
        <v>1058</v>
      </c>
      <c r="L14" s="29" t="s">
        <v>1059</v>
      </c>
    </row>
    <row r="15" spans="1:12" ht="45.75" customHeight="1">
      <c r="A15" s="27" t="s">
        <v>617</v>
      </c>
      <c r="B15" s="27" t="s">
        <v>1060</v>
      </c>
      <c r="C15" s="27" t="s">
        <v>1061</v>
      </c>
      <c r="D15" s="27" t="s">
        <v>1062</v>
      </c>
      <c r="E15" s="27" t="s">
        <v>1063</v>
      </c>
      <c r="F15" s="27" t="s">
        <v>1064</v>
      </c>
      <c r="G15" s="27" t="s">
        <v>1065</v>
      </c>
      <c r="H15" s="27" t="s">
        <v>1066</v>
      </c>
      <c r="I15" s="27" t="s">
        <v>1067</v>
      </c>
      <c r="J15" s="27" t="s">
        <v>1068</v>
      </c>
      <c r="K15" s="27" t="s">
        <v>1069</v>
      </c>
      <c r="L15" s="27" t="s">
        <v>1070</v>
      </c>
    </row>
    <row r="16" spans="1:12" ht="45.75" customHeight="1">
      <c r="A16" s="29" t="s">
        <v>426</v>
      </c>
      <c r="B16" s="29" t="s">
        <v>1071</v>
      </c>
      <c r="C16" s="29" t="s">
        <v>1072</v>
      </c>
      <c r="D16" s="29" t="s">
        <v>970</v>
      </c>
      <c r="E16" s="29" t="s">
        <v>1073</v>
      </c>
      <c r="F16" s="29" t="s">
        <v>1074</v>
      </c>
      <c r="G16" s="29" t="s">
        <v>1075</v>
      </c>
      <c r="H16" s="29" t="s">
        <v>1076</v>
      </c>
      <c r="I16" s="29" t="s">
        <v>1077</v>
      </c>
      <c r="J16" s="29" t="s">
        <v>1078</v>
      </c>
      <c r="K16" s="29" t="s">
        <v>1079</v>
      </c>
      <c r="L16" s="29" t="s">
        <v>1080</v>
      </c>
    </row>
  </sheetData>
  <autoFilter ref="A4:L16"/>
  <mergeCells count="2">
    <mergeCell ref="A1:L1"/>
    <mergeCell ref="A2:L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L19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.7109375" customWidth="1"/>
    <col min="2" max="2" width="35.7109375" customWidth="1"/>
    <col min="3" max="3" width="18.7109375" customWidth="1"/>
    <col min="4" max="5" width="34.7109375" customWidth="1"/>
    <col min="6" max="6" width="80.7109375" customWidth="1"/>
    <col min="7" max="7" width="95.7109375" customWidth="1"/>
    <col min="8" max="8" width="90.7109375" customWidth="1"/>
    <col min="9" max="9" width="65.7109375" customWidth="1"/>
    <col min="10" max="10" width="75.7109375" customWidth="1"/>
    <col min="11" max="11" width="95.7109375" customWidth="1"/>
    <col min="12" max="12" width="45.7109375" customWidth="1"/>
  </cols>
  <sheetData>
    <row r="1" spans="1:12" ht="36" customHeight="1">
      <c r="A1" s="7" t="s">
        <v>1081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>
      <c r="A2" s="8" t="s">
        <v>1082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>
      <c r="A3" s="9" t="s">
        <v>79</v>
      </c>
    </row>
    <row r="4" spans="1:12" ht="33.75" customHeight="1">
      <c r="A4" s="26" t="s">
        <v>1083</v>
      </c>
      <c r="B4" s="26" t="s">
        <v>1084</v>
      </c>
      <c r="C4" s="26" t="s">
        <v>6</v>
      </c>
      <c r="D4" s="26" t="s">
        <v>1085</v>
      </c>
      <c r="E4" s="26" t="s">
        <v>1086</v>
      </c>
      <c r="F4" s="26" t="s">
        <v>1087</v>
      </c>
      <c r="G4" s="26" t="s">
        <v>1088</v>
      </c>
      <c r="H4" s="26" t="s">
        <v>1089</v>
      </c>
      <c r="I4" s="26" t="s">
        <v>1090</v>
      </c>
      <c r="J4" s="26" t="s">
        <v>1091</v>
      </c>
      <c r="K4" s="26" t="s">
        <v>1092</v>
      </c>
      <c r="L4" s="26" t="s">
        <v>1093</v>
      </c>
    </row>
    <row r="5" spans="1:12" ht="45.75" customHeight="1">
      <c r="A5" s="27" t="s">
        <v>1094</v>
      </c>
      <c r="B5" s="27" t="s">
        <v>1095</v>
      </c>
      <c r="C5" s="27" t="s">
        <v>1096</v>
      </c>
      <c r="D5" s="27" t="s">
        <v>1097</v>
      </c>
      <c r="E5" s="27" t="s">
        <v>551</v>
      </c>
      <c r="F5" s="27" t="s">
        <v>1098</v>
      </c>
      <c r="G5" s="27" t="s">
        <v>1099</v>
      </c>
      <c r="H5" s="27" t="s">
        <v>1100</v>
      </c>
      <c r="I5" s="27" t="s">
        <v>1101</v>
      </c>
      <c r="J5" s="27" t="s">
        <v>1102</v>
      </c>
      <c r="K5" s="27" t="s">
        <v>1103</v>
      </c>
      <c r="L5" s="27" t="s">
        <v>1104</v>
      </c>
    </row>
    <row r="6" spans="1:12" ht="45.75" customHeight="1">
      <c r="A6" s="29" t="s">
        <v>1105</v>
      </c>
      <c r="B6" s="29" t="s">
        <v>1106</v>
      </c>
      <c r="C6" s="29" t="s">
        <v>21</v>
      </c>
      <c r="D6" s="29" t="s">
        <v>1107</v>
      </c>
      <c r="E6" s="29" t="s">
        <v>1097</v>
      </c>
      <c r="F6" s="29" t="s">
        <v>1108</v>
      </c>
      <c r="G6" s="29" t="s">
        <v>1109</v>
      </c>
      <c r="H6" s="29" t="s">
        <v>1110</v>
      </c>
      <c r="I6" s="29" t="s">
        <v>1111</v>
      </c>
      <c r="J6" s="29" t="s">
        <v>1112</v>
      </c>
      <c r="K6" s="29" t="s">
        <v>1113</v>
      </c>
      <c r="L6" s="29" t="s">
        <v>1114</v>
      </c>
    </row>
    <row r="7" spans="1:12" ht="45.75" customHeight="1">
      <c r="A7" s="27" t="s">
        <v>483</v>
      </c>
      <c r="B7" s="27" t="s">
        <v>1115</v>
      </c>
      <c r="C7" s="27" t="s">
        <v>1116</v>
      </c>
      <c r="D7" s="27" t="s">
        <v>1117</v>
      </c>
      <c r="E7" s="27" t="s">
        <v>1118</v>
      </c>
      <c r="F7" s="27" t="s">
        <v>1119</v>
      </c>
      <c r="G7" s="27" t="s">
        <v>1120</v>
      </c>
      <c r="H7" s="27" t="s">
        <v>1121</v>
      </c>
      <c r="I7" s="27" t="s">
        <v>1122</v>
      </c>
      <c r="J7" s="27" t="s">
        <v>1123</v>
      </c>
      <c r="K7" s="27" t="s">
        <v>1124</v>
      </c>
      <c r="L7" s="27" t="s">
        <v>1125</v>
      </c>
    </row>
    <row r="8" spans="1:12" ht="45.75" customHeight="1">
      <c r="A8" s="29" t="s">
        <v>1126</v>
      </c>
      <c r="B8" s="29" t="s">
        <v>1127</v>
      </c>
      <c r="C8" s="29" t="s">
        <v>1128</v>
      </c>
      <c r="D8" s="29" t="s">
        <v>1129</v>
      </c>
      <c r="E8" s="29" t="s">
        <v>1130</v>
      </c>
      <c r="F8" s="29" t="s">
        <v>1131</v>
      </c>
      <c r="G8" s="29" t="s">
        <v>1132</v>
      </c>
      <c r="H8" s="29" t="s">
        <v>1133</v>
      </c>
      <c r="I8" s="29" t="s">
        <v>1134</v>
      </c>
      <c r="J8" s="29" t="s">
        <v>1135</v>
      </c>
      <c r="K8" s="29" t="s">
        <v>1136</v>
      </c>
      <c r="L8" s="29" t="s">
        <v>1137</v>
      </c>
    </row>
    <row r="9" spans="1:12" ht="45.75" customHeight="1">
      <c r="A9" s="27" t="s">
        <v>535</v>
      </c>
      <c r="B9" s="27" t="s">
        <v>1138</v>
      </c>
      <c r="C9" s="27" t="s">
        <v>1139</v>
      </c>
      <c r="D9" s="27" t="s">
        <v>1140</v>
      </c>
      <c r="E9" s="27" t="s">
        <v>1141</v>
      </c>
      <c r="F9" s="27" t="s">
        <v>1142</v>
      </c>
      <c r="G9" s="27" t="s">
        <v>1143</v>
      </c>
      <c r="H9" s="27" t="s">
        <v>1144</v>
      </c>
      <c r="I9" s="27" t="s">
        <v>1145</v>
      </c>
      <c r="J9" s="27" t="s">
        <v>1146</v>
      </c>
      <c r="K9" s="27" t="s">
        <v>1147</v>
      </c>
      <c r="L9" s="27" t="s">
        <v>522</v>
      </c>
    </row>
    <row r="10" spans="1:12" ht="45.75" customHeight="1">
      <c r="A10" s="29" t="s">
        <v>594</v>
      </c>
      <c r="B10" s="29" t="s">
        <v>1148</v>
      </c>
      <c r="C10" s="29" t="s">
        <v>26</v>
      </c>
      <c r="D10" s="29" t="s">
        <v>1149</v>
      </c>
      <c r="E10" s="29" t="s">
        <v>1150</v>
      </c>
      <c r="F10" s="29" t="s">
        <v>1151</v>
      </c>
      <c r="G10" s="29" t="s">
        <v>1152</v>
      </c>
      <c r="H10" s="29" t="s">
        <v>1153</v>
      </c>
      <c r="I10" s="29" t="s">
        <v>1154</v>
      </c>
      <c r="J10" s="29" t="s">
        <v>1155</v>
      </c>
      <c r="K10" s="29" t="s">
        <v>1156</v>
      </c>
      <c r="L10" s="29" t="s">
        <v>1157</v>
      </c>
    </row>
    <row r="11" spans="1:12" ht="45.75" customHeight="1">
      <c r="A11" s="27" t="s">
        <v>602</v>
      </c>
      <c r="B11" s="27" t="s">
        <v>1158</v>
      </c>
      <c r="C11" s="27" t="s">
        <v>26</v>
      </c>
      <c r="D11" s="27" t="s">
        <v>1159</v>
      </c>
      <c r="E11" s="27" t="s">
        <v>1160</v>
      </c>
      <c r="F11" s="27" t="s">
        <v>1161</v>
      </c>
      <c r="G11" s="27" t="s">
        <v>1162</v>
      </c>
      <c r="H11" s="27" t="s">
        <v>1163</v>
      </c>
      <c r="I11" s="27" t="s">
        <v>1164</v>
      </c>
      <c r="J11" s="27" t="s">
        <v>1165</v>
      </c>
      <c r="K11" s="27" t="s">
        <v>1166</v>
      </c>
      <c r="L11" s="27" t="s">
        <v>1167</v>
      </c>
    </row>
    <row r="12" spans="1:12" ht="45.75" customHeight="1">
      <c r="A12" s="29" t="s">
        <v>611</v>
      </c>
      <c r="B12" s="29" t="s">
        <v>1168</v>
      </c>
      <c r="C12" s="29" t="s">
        <v>1169</v>
      </c>
      <c r="D12" s="29" t="s">
        <v>1170</v>
      </c>
      <c r="E12" s="29" t="s">
        <v>1171</v>
      </c>
      <c r="F12" s="29" t="s">
        <v>1172</v>
      </c>
      <c r="G12" s="29" t="s">
        <v>1173</v>
      </c>
      <c r="H12" s="29" t="s">
        <v>1174</v>
      </c>
      <c r="I12" s="29" t="s">
        <v>1175</v>
      </c>
      <c r="J12" s="29" t="s">
        <v>1176</v>
      </c>
      <c r="K12" s="29" t="s">
        <v>1177</v>
      </c>
      <c r="L12" s="29" t="s">
        <v>1178</v>
      </c>
    </row>
    <row r="13" spans="1:12" ht="45.75" customHeight="1">
      <c r="A13" s="27" t="s">
        <v>1179</v>
      </c>
      <c r="B13" s="27" t="s">
        <v>1180</v>
      </c>
      <c r="C13" s="27" t="s">
        <v>26</v>
      </c>
      <c r="D13" s="27" t="s">
        <v>1181</v>
      </c>
      <c r="E13" s="27" t="s">
        <v>1182</v>
      </c>
      <c r="F13" s="27" t="s">
        <v>1183</v>
      </c>
      <c r="G13" s="27" t="s">
        <v>1184</v>
      </c>
      <c r="H13" s="27" t="s">
        <v>1185</v>
      </c>
      <c r="I13" s="27" t="s">
        <v>1186</v>
      </c>
      <c r="J13" s="27" t="s">
        <v>1187</v>
      </c>
      <c r="K13" s="27" t="s">
        <v>1188</v>
      </c>
      <c r="L13" s="27" t="s">
        <v>1189</v>
      </c>
    </row>
    <row r="14" spans="1:12" ht="62.25" customHeight="1">
      <c r="A14" s="29" t="s">
        <v>663</v>
      </c>
      <c r="B14" s="29" t="s">
        <v>1190</v>
      </c>
      <c r="C14" s="29" t="s">
        <v>31</v>
      </c>
      <c r="D14" s="29" t="s">
        <v>1191</v>
      </c>
      <c r="E14" s="29" t="s">
        <v>1192</v>
      </c>
      <c r="F14" s="29" t="s">
        <v>1193</v>
      </c>
      <c r="G14" s="29" t="s">
        <v>1194</v>
      </c>
      <c r="H14" s="29" t="s">
        <v>1195</v>
      </c>
      <c r="I14" s="29" t="s">
        <v>1196</v>
      </c>
      <c r="J14" s="29" t="s">
        <v>1197</v>
      </c>
      <c r="K14" s="29" t="s">
        <v>1198</v>
      </c>
      <c r="L14" s="29" t="s">
        <v>1199</v>
      </c>
    </row>
    <row r="15" spans="1:12" ht="45.75" customHeight="1">
      <c r="A15" s="27" t="s">
        <v>711</v>
      </c>
      <c r="B15" s="27" t="s">
        <v>1200</v>
      </c>
      <c r="C15" s="27" t="s">
        <v>36</v>
      </c>
      <c r="D15" s="27" t="s">
        <v>709</v>
      </c>
      <c r="E15" s="27" t="s">
        <v>1201</v>
      </c>
      <c r="F15" s="27" t="s">
        <v>1202</v>
      </c>
      <c r="G15" s="27" t="s">
        <v>1203</v>
      </c>
      <c r="H15" s="27" t="s">
        <v>1204</v>
      </c>
      <c r="I15" s="27" t="s">
        <v>1205</v>
      </c>
      <c r="J15" s="27" t="s">
        <v>1206</v>
      </c>
      <c r="K15" s="27" t="s">
        <v>1207</v>
      </c>
      <c r="L15" s="27" t="s">
        <v>1208</v>
      </c>
    </row>
    <row r="16" spans="1:12" ht="45.75" customHeight="1">
      <c r="A16" s="29" t="s">
        <v>746</v>
      </c>
      <c r="B16" s="29" t="s">
        <v>1209</v>
      </c>
      <c r="C16" s="29" t="s">
        <v>1210</v>
      </c>
      <c r="D16" s="29" t="s">
        <v>1211</v>
      </c>
      <c r="E16" s="29" t="s">
        <v>1212</v>
      </c>
      <c r="F16" s="29" t="s">
        <v>1213</v>
      </c>
      <c r="G16" s="29" t="s">
        <v>1214</v>
      </c>
      <c r="H16" s="29" t="s">
        <v>1215</v>
      </c>
      <c r="I16" s="29" t="s">
        <v>1216</v>
      </c>
      <c r="J16" s="29" t="s">
        <v>1217</v>
      </c>
      <c r="K16" s="29" t="s">
        <v>1218</v>
      </c>
      <c r="L16" s="29" t="s">
        <v>1219</v>
      </c>
    </row>
    <row r="17" spans="1:12" ht="45.75" customHeight="1">
      <c r="A17" s="27" t="s">
        <v>785</v>
      </c>
      <c r="B17" s="27" t="s">
        <v>1220</v>
      </c>
      <c r="C17" s="27" t="s">
        <v>1221</v>
      </c>
      <c r="D17" s="27" t="s">
        <v>1222</v>
      </c>
      <c r="E17" s="27" t="s">
        <v>1223</v>
      </c>
      <c r="F17" s="27" t="s">
        <v>1224</v>
      </c>
      <c r="G17" s="27" t="s">
        <v>1225</v>
      </c>
      <c r="H17" s="27" t="s">
        <v>1226</v>
      </c>
      <c r="I17" s="27" t="s">
        <v>1227</v>
      </c>
      <c r="J17" s="27" t="s">
        <v>1228</v>
      </c>
      <c r="K17" s="27" t="s">
        <v>1229</v>
      </c>
      <c r="L17" s="27" t="s">
        <v>1230</v>
      </c>
    </row>
    <row r="18" spans="1:12" ht="45.75" customHeight="1">
      <c r="A18" s="29" t="s">
        <v>507</v>
      </c>
      <c r="B18" s="29" t="s">
        <v>1231</v>
      </c>
      <c r="C18" s="29" t="s">
        <v>1232</v>
      </c>
      <c r="D18" s="29" t="s">
        <v>1233</v>
      </c>
      <c r="E18" s="29" t="s">
        <v>1234</v>
      </c>
      <c r="F18" s="29" t="s">
        <v>1235</v>
      </c>
      <c r="G18" s="29" t="s">
        <v>1236</v>
      </c>
      <c r="H18" s="29" t="s">
        <v>1237</v>
      </c>
      <c r="I18" s="29" t="s">
        <v>1238</v>
      </c>
      <c r="J18" s="29" t="s">
        <v>1239</v>
      </c>
      <c r="K18" s="29" t="s">
        <v>1240</v>
      </c>
      <c r="L18" s="29" t="s">
        <v>1241</v>
      </c>
    </row>
    <row r="19" spans="1:12" ht="45.75" customHeight="1">
      <c r="A19" s="27" t="s">
        <v>567</v>
      </c>
      <c r="B19" s="27" t="s">
        <v>1242</v>
      </c>
      <c r="C19" s="27" t="s">
        <v>1072</v>
      </c>
      <c r="D19" s="27" t="s">
        <v>1243</v>
      </c>
      <c r="E19" s="27" t="s">
        <v>1244</v>
      </c>
      <c r="F19" s="27" t="s">
        <v>1245</v>
      </c>
      <c r="G19" s="27" t="s">
        <v>1246</v>
      </c>
      <c r="H19" s="27" t="s">
        <v>1247</v>
      </c>
      <c r="I19" s="27" t="s">
        <v>1248</v>
      </c>
      <c r="J19" s="27" t="s">
        <v>1249</v>
      </c>
      <c r="K19" s="27" t="s">
        <v>1250</v>
      </c>
      <c r="L19" s="27" t="s">
        <v>1251</v>
      </c>
    </row>
  </sheetData>
  <autoFilter ref="A4:L19"/>
  <mergeCells count="2">
    <mergeCell ref="A1:L1"/>
    <mergeCell ref="A2:L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J94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85.7109375" customWidth="1"/>
    <col min="3" max="4" width="60.7109375" customWidth="1"/>
    <col min="5" max="5" width="55.7109375" customWidth="1"/>
    <col min="6" max="6" width="38.7109375" customWidth="1"/>
    <col min="7" max="7" width="24.7109375" customWidth="1"/>
    <col min="8" max="8" width="55.7109375" customWidth="1"/>
    <col min="9" max="9" width="75.7109375" customWidth="1"/>
    <col min="10" max="10" width="40.7109375" customWidth="1"/>
  </cols>
  <sheetData>
    <row r="1" spans="1:10" ht="36" customHeight="1">
      <c r="A1" s="7" t="s">
        <v>1252</v>
      </c>
      <c r="B1" s="7"/>
      <c r="C1" s="7"/>
      <c r="D1" s="7"/>
      <c r="E1" s="7"/>
      <c r="F1" s="7"/>
      <c r="G1" s="7"/>
      <c r="H1" s="7"/>
      <c r="I1" s="7"/>
      <c r="J1" s="7"/>
    </row>
    <row r="2" spans="1:10" ht="36" customHeight="1">
      <c r="A2" s="8" t="s">
        <v>1253</v>
      </c>
      <c r="B2" s="8"/>
      <c r="C2" s="8"/>
      <c r="D2" s="8"/>
      <c r="E2" s="8"/>
      <c r="F2" s="8"/>
      <c r="G2" s="8"/>
      <c r="H2" s="8"/>
      <c r="I2" s="8"/>
      <c r="J2" s="8"/>
    </row>
    <row r="3" spans="1:10">
      <c r="A3" s="9" t="s">
        <v>79</v>
      </c>
    </row>
    <row r="4" spans="1:10" ht="33.75" customHeight="1">
      <c r="A4" s="26" t="s">
        <v>1254</v>
      </c>
      <c r="B4" s="26" t="s">
        <v>1255</v>
      </c>
      <c r="C4" s="26" t="s">
        <v>1093</v>
      </c>
      <c r="D4" s="26" t="s">
        <v>1256</v>
      </c>
      <c r="E4" s="26" t="s">
        <v>147</v>
      </c>
      <c r="F4" s="26" t="s">
        <v>1257</v>
      </c>
      <c r="G4" s="26" t="s">
        <v>10</v>
      </c>
      <c r="H4" s="26" t="s">
        <v>1258</v>
      </c>
      <c r="I4" s="26" t="s">
        <v>1259</v>
      </c>
      <c r="J4" s="26" t="s">
        <v>1260</v>
      </c>
    </row>
    <row r="5" spans="1:10" ht="35.25" customHeight="1">
      <c r="A5" s="27" t="s">
        <v>1261</v>
      </c>
      <c r="B5" s="27" t="s">
        <v>1262</v>
      </c>
      <c r="C5" s="27" t="s">
        <v>1263</v>
      </c>
      <c r="D5" s="27" t="s">
        <v>1264</v>
      </c>
      <c r="E5" s="27" t="s">
        <v>654</v>
      </c>
      <c r="F5" s="27" t="s">
        <v>1265</v>
      </c>
      <c r="G5" s="27" t="s">
        <v>35</v>
      </c>
      <c r="H5" s="27" t="s">
        <v>1266</v>
      </c>
      <c r="I5" s="27" t="s">
        <v>1267</v>
      </c>
      <c r="J5" s="27" t="s">
        <v>1268</v>
      </c>
    </row>
    <row r="6" spans="1:10" ht="35.25" customHeight="1">
      <c r="A6" s="29" t="s">
        <v>1269</v>
      </c>
      <c r="B6" s="29" t="s">
        <v>1270</v>
      </c>
      <c r="C6" s="29" t="s">
        <v>1263</v>
      </c>
      <c r="D6" s="29" t="s">
        <v>1271</v>
      </c>
      <c r="E6" s="29" t="s">
        <v>600</v>
      </c>
      <c r="F6" s="29" t="s">
        <v>1272</v>
      </c>
      <c r="G6" s="29" t="s">
        <v>30</v>
      </c>
      <c r="H6" s="29" t="s">
        <v>1266</v>
      </c>
      <c r="I6" s="29" t="s">
        <v>1267</v>
      </c>
      <c r="J6" s="29" t="s">
        <v>1268</v>
      </c>
    </row>
    <row r="7" spans="1:10" ht="35.25" customHeight="1">
      <c r="A7" s="27" t="s">
        <v>1273</v>
      </c>
      <c r="B7" s="27" t="s">
        <v>1274</v>
      </c>
      <c r="C7" s="27" t="s">
        <v>1263</v>
      </c>
      <c r="D7" s="27" t="s">
        <v>1275</v>
      </c>
      <c r="E7" s="27" t="s">
        <v>744</v>
      </c>
      <c r="F7" s="27" t="s">
        <v>1276</v>
      </c>
      <c r="G7" s="27" t="s">
        <v>45</v>
      </c>
      <c r="H7" s="27" t="s">
        <v>1266</v>
      </c>
      <c r="I7" s="27" t="s">
        <v>1267</v>
      </c>
      <c r="J7" s="27" t="s">
        <v>1268</v>
      </c>
    </row>
    <row r="8" spans="1:10" ht="35.25" customHeight="1">
      <c r="A8" s="29" t="s">
        <v>1277</v>
      </c>
      <c r="B8" s="29" t="s">
        <v>1278</v>
      </c>
      <c r="C8" s="29" t="s">
        <v>1263</v>
      </c>
      <c r="D8" s="29" t="s">
        <v>1279</v>
      </c>
      <c r="E8" s="29" t="s">
        <v>1280</v>
      </c>
      <c r="F8" s="29" t="s">
        <v>1281</v>
      </c>
      <c r="G8" s="29" t="s">
        <v>1282</v>
      </c>
      <c r="H8" s="29" t="s">
        <v>1266</v>
      </c>
      <c r="I8" s="29" t="s">
        <v>1267</v>
      </c>
      <c r="J8" s="29" t="s">
        <v>1268</v>
      </c>
    </row>
    <row r="9" spans="1:10" ht="35.25" customHeight="1">
      <c r="A9" s="27" t="s">
        <v>1283</v>
      </c>
      <c r="B9" s="27" t="s">
        <v>1284</v>
      </c>
      <c r="C9" s="27" t="s">
        <v>1263</v>
      </c>
      <c r="D9" s="27" t="s">
        <v>1285</v>
      </c>
      <c r="E9" s="27" t="s">
        <v>1286</v>
      </c>
      <c r="F9" s="27" t="s">
        <v>1179</v>
      </c>
      <c r="G9" s="27" t="s">
        <v>1287</v>
      </c>
      <c r="H9" s="27" t="s">
        <v>1266</v>
      </c>
      <c r="I9" s="27" t="s">
        <v>1267</v>
      </c>
      <c r="J9" s="27" t="s">
        <v>1268</v>
      </c>
    </row>
    <row r="10" spans="1:10" ht="35.25" customHeight="1">
      <c r="A10" s="29" t="s">
        <v>1288</v>
      </c>
      <c r="B10" s="29" t="s">
        <v>1289</v>
      </c>
      <c r="C10" s="29" t="s">
        <v>1263</v>
      </c>
      <c r="D10" s="29" t="s">
        <v>1290</v>
      </c>
      <c r="E10" s="29" t="s">
        <v>1291</v>
      </c>
      <c r="F10" s="29" t="s">
        <v>1292</v>
      </c>
      <c r="G10" s="29" t="s">
        <v>1293</v>
      </c>
      <c r="H10" s="29" t="s">
        <v>1266</v>
      </c>
      <c r="I10" s="29" t="s">
        <v>1267</v>
      </c>
      <c r="J10" s="29" t="s">
        <v>1268</v>
      </c>
    </row>
    <row r="11" spans="1:10" ht="35.25" customHeight="1">
      <c r="A11" s="27" t="s">
        <v>1294</v>
      </c>
      <c r="B11" s="27" t="s">
        <v>1295</v>
      </c>
      <c r="C11" s="27" t="s">
        <v>1263</v>
      </c>
      <c r="D11" s="27" t="s">
        <v>1296</v>
      </c>
      <c r="E11" s="27" t="s">
        <v>600</v>
      </c>
      <c r="F11" s="27" t="s">
        <v>1297</v>
      </c>
      <c r="G11" s="27" t="s">
        <v>1298</v>
      </c>
      <c r="H11" s="27" t="s">
        <v>1266</v>
      </c>
      <c r="I11" s="27" t="s">
        <v>1267</v>
      </c>
      <c r="J11" s="27" t="s">
        <v>1268</v>
      </c>
    </row>
    <row r="12" spans="1:10" ht="35.25" customHeight="1">
      <c r="A12" s="29" t="s">
        <v>1299</v>
      </c>
      <c r="B12" s="29" t="s">
        <v>1300</v>
      </c>
      <c r="C12" s="29" t="s">
        <v>1263</v>
      </c>
      <c r="D12" s="29" t="s">
        <v>1301</v>
      </c>
      <c r="E12" s="29" t="s">
        <v>617</v>
      </c>
      <c r="F12" s="29" t="s">
        <v>1302</v>
      </c>
      <c r="G12" s="29" t="s">
        <v>1287</v>
      </c>
      <c r="H12" s="29" t="s">
        <v>1266</v>
      </c>
      <c r="I12" s="29" t="s">
        <v>1267</v>
      </c>
      <c r="J12" s="29" t="s">
        <v>1268</v>
      </c>
    </row>
    <row r="13" spans="1:10" ht="35.25" customHeight="1">
      <c r="A13" s="27" t="s">
        <v>1303</v>
      </c>
      <c r="B13" s="27" t="s">
        <v>1304</v>
      </c>
      <c r="C13" s="27" t="s">
        <v>1263</v>
      </c>
      <c r="D13" s="27" t="s">
        <v>1305</v>
      </c>
      <c r="E13" s="27" t="s">
        <v>1306</v>
      </c>
      <c r="F13" s="27" t="s">
        <v>1307</v>
      </c>
      <c r="G13" s="27" t="s">
        <v>30</v>
      </c>
      <c r="H13" s="27" t="s">
        <v>1266</v>
      </c>
      <c r="I13" s="27" t="s">
        <v>1267</v>
      </c>
      <c r="J13" s="27" t="s">
        <v>1268</v>
      </c>
    </row>
    <row r="14" spans="1:10" ht="35.25" customHeight="1">
      <c r="A14" s="29" t="s">
        <v>1308</v>
      </c>
      <c r="B14" s="29" t="s">
        <v>1309</v>
      </c>
      <c r="C14" s="29" t="s">
        <v>1263</v>
      </c>
      <c r="D14" s="29" t="s">
        <v>1310</v>
      </c>
      <c r="E14" s="29" t="s">
        <v>1286</v>
      </c>
      <c r="F14" s="29" t="s">
        <v>1311</v>
      </c>
      <c r="G14" s="29" t="s">
        <v>1312</v>
      </c>
      <c r="H14" s="29" t="s">
        <v>1266</v>
      </c>
      <c r="I14" s="29" t="s">
        <v>1267</v>
      </c>
      <c r="J14" s="29" t="s">
        <v>1268</v>
      </c>
    </row>
    <row r="15" spans="1:10" ht="35.25" customHeight="1">
      <c r="A15" s="27" t="s">
        <v>1313</v>
      </c>
      <c r="B15" s="27" t="s">
        <v>1314</v>
      </c>
      <c r="C15" s="27" t="s">
        <v>1263</v>
      </c>
      <c r="D15" s="27" t="s">
        <v>1315</v>
      </c>
      <c r="E15" s="27" t="s">
        <v>1316</v>
      </c>
      <c r="F15" s="27" t="s">
        <v>1317</v>
      </c>
      <c r="G15" s="27" t="s">
        <v>1318</v>
      </c>
      <c r="H15" s="27" t="s">
        <v>1266</v>
      </c>
      <c r="I15" s="27" t="s">
        <v>1267</v>
      </c>
      <c r="J15" s="27" t="s">
        <v>1268</v>
      </c>
    </row>
    <row r="16" spans="1:10" ht="35.25" customHeight="1">
      <c r="A16" s="29" t="s">
        <v>1319</v>
      </c>
      <c r="B16" s="29" t="s">
        <v>1320</v>
      </c>
      <c r="C16" s="29" t="s">
        <v>1263</v>
      </c>
      <c r="D16" s="29" t="s">
        <v>1321</v>
      </c>
      <c r="E16" s="29" t="s">
        <v>1322</v>
      </c>
      <c r="F16" s="29" t="s">
        <v>1323</v>
      </c>
      <c r="G16" s="29" t="s">
        <v>40</v>
      </c>
      <c r="H16" s="29" t="s">
        <v>1266</v>
      </c>
      <c r="I16" s="29" t="s">
        <v>1267</v>
      </c>
      <c r="J16" s="29" t="s">
        <v>1268</v>
      </c>
    </row>
    <row r="17" spans="1:10" ht="35.25" customHeight="1">
      <c r="A17" s="27" t="s">
        <v>1324</v>
      </c>
      <c r="B17" s="27" t="s">
        <v>1325</v>
      </c>
      <c r="C17" s="27" t="s">
        <v>1263</v>
      </c>
      <c r="D17" s="27" t="s">
        <v>1326</v>
      </c>
      <c r="E17" s="27" t="s">
        <v>518</v>
      </c>
      <c r="F17" s="27" t="s">
        <v>535</v>
      </c>
      <c r="G17" s="27" t="s">
        <v>1327</v>
      </c>
      <c r="H17" s="27" t="s">
        <v>1266</v>
      </c>
      <c r="I17" s="27" t="s">
        <v>1267</v>
      </c>
      <c r="J17" s="27" t="s">
        <v>1268</v>
      </c>
    </row>
    <row r="18" spans="1:10" ht="35.25" customHeight="1">
      <c r="A18" s="29" t="s">
        <v>1328</v>
      </c>
      <c r="B18" s="29" t="s">
        <v>1329</v>
      </c>
      <c r="C18" s="29" t="s">
        <v>1263</v>
      </c>
      <c r="D18" s="29" t="s">
        <v>1330</v>
      </c>
      <c r="E18" s="29" t="s">
        <v>617</v>
      </c>
      <c r="F18" s="29" t="s">
        <v>785</v>
      </c>
      <c r="G18" s="29" t="s">
        <v>1331</v>
      </c>
      <c r="H18" s="29" t="s">
        <v>1266</v>
      </c>
      <c r="I18" s="29" t="s">
        <v>1267</v>
      </c>
      <c r="J18" s="29" t="s">
        <v>1268</v>
      </c>
    </row>
    <row r="19" spans="1:10" ht="35.25" customHeight="1">
      <c r="A19" s="27" t="s">
        <v>1332</v>
      </c>
      <c r="B19" s="27" t="s">
        <v>1333</v>
      </c>
      <c r="C19" s="27" t="s">
        <v>1263</v>
      </c>
      <c r="D19" s="27" t="s">
        <v>1334</v>
      </c>
      <c r="E19" s="27" t="s">
        <v>1291</v>
      </c>
      <c r="F19" s="27" t="s">
        <v>1335</v>
      </c>
      <c r="G19" s="27" t="s">
        <v>45</v>
      </c>
      <c r="H19" s="27" t="s">
        <v>1266</v>
      </c>
      <c r="I19" s="27" t="s">
        <v>1267</v>
      </c>
      <c r="J19" s="27" t="s">
        <v>1268</v>
      </c>
    </row>
    <row r="20" spans="1:10" ht="35.25" customHeight="1">
      <c r="A20" s="29" t="s">
        <v>1336</v>
      </c>
      <c r="B20" s="29" t="s">
        <v>1337</v>
      </c>
      <c r="C20" s="29" t="s">
        <v>1263</v>
      </c>
      <c r="D20" s="29" t="s">
        <v>1338</v>
      </c>
      <c r="E20" s="29" t="s">
        <v>1339</v>
      </c>
      <c r="F20" s="29" t="s">
        <v>1340</v>
      </c>
      <c r="G20" s="29" t="s">
        <v>50</v>
      </c>
      <c r="H20" s="29" t="s">
        <v>1266</v>
      </c>
      <c r="I20" s="29" t="s">
        <v>1267</v>
      </c>
      <c r="J20" s="29" t="s">
        <v>1268</v>
      </c>
    </row>
    <row r="21" spans="1:10" ht="45.75" customHeight="1">
      <c r="A21" s="27" t="s">
        <v>1341</v>
      </c>
      <c r="B21" s="27" t="s">
        <v>1342</v>
      </c>
      <c r="C21" s="27" t="s">
        <v>1343</v>
      </c>
      <c r="D21" s="27" t="s">
        <v>1344</v>
      </c>
      <c r="E21" s="27" t="s">
        <v>1345</v>
      </c>
      <c r="F21" s="27" t="s">
        <v>711</v>
      </c>
      <c r="G21" s="27" t="s">
        <v>40</v>
      </c>
      <c r="H21" s="27" t="s">
        <v>1266</v>
      </c>
      <c r="I21" s="27" t="s">
        <v>1267</v>
      </c>
      <c r="J21" s="27" t="s">
        <v>1268</v>
      </c>
    </row>
    <row r="22" spans="1:10" ht="45.75" customHeight="1">
      <c r="A22" s="29" t="s">
        <v>1346</v>
      </c>
      <c r="B22" s="29" t="s">
        <v>1347</v>
      </c>
      <c r="C22" s="29" t="s">
        <v>1343</v>
      </c>
      <c r="D22" s="29" t="s">
        <v>1348</v>
      </c>
      <c r="E22" s="29" t="s">
        <v>1349</v>
      </c>
      <c r="F22" s="29" t="s">
        <v>746</v>
      </c>
      <c r="G22" s="29" t="s">
        <v>45</v>
      </c>
      <c r="H22" s="29" t="s">
        <v>1266</v>
      </c>
      <c r="I22" s="29" t="s">
        <v>1267</v>
      </c>
      <c r="J22" s="29" t="s">
        <v>1268</v>
      </c>
    </row>
    <row r="23" spans="1:10" ht="45.75" customHeight="1">
      <c r="A23" s="27" t="s">
        <v>1350</v>
      </c>
      <c r="B23" s="27" t="s">
        <v>1351</v>
      </c>
      <c r="C23" s="27" t="s">
        <v>1343</v>
      </c>
      <c r="D23" s="27" t="s">
        <v>1352</v>
      </c>
      <c r="E23" s="27" t="s">
        <v>709</v>
      </c>
      <c r="F23" s="27" t="s">
        <v>1311</v>
      </c>
      <c r="G23" s="27" t="s">
        <v>1353</v>
      </c>
      <c r="H23" s="27" t="s">
        <v>1266</v>
      </c>
      <c r="I23" s="27" t="s">
        <v>1267</v>
      </c>
      <c r="J23" s="27" t="s">
        <v>1268</v>
      </c>
    </row>
    <row r="24" spans="1:10" ht="45.75" customHeight="1">
      <c r="A24" s="29" t="s">
        <v>1354</v>
      </c>
      <c r="B24" s="29" t="s">
        <v>1355</v>
      </c>
      <c r="C24" s="29" t="s">
        <v>1343</v>
      </c>
      <c r="D24" s="29" t="s">
        <v>1348</v>
      </c>
      <c r="E24" s="29" t="s">
        <v>1349</v>
      </c>
      <c r="F24" s="29" t="s">
        <v>746</v>
      </c>
      <c r="G24" s="29" t="s">
        <v>45</v>
      </c>
      <c r="H24" s="29" t="s">
        <v>1266</v>
      </c>
      <c r="I24" s="29" t="s">
        <v>1267</v>
      </c>
      <c r="J24" s="29" t="s">
        <v>1268</v>
      </c>
    </row>
    <row r="25" spans="1:10" ht="45.75" customHeight="1">
      <c r="A25" s="27" t="s">
        <v>1356</v>
      </c>
      <c r="B25" s="27" t="s">
        <v>1357</v>
      </c>
      <c r="C25" s="27" t="s">
        <v>1343</v>
      </c>
      <c r="D25" s="27" t="s">
        <v>1358</v>
      </c>
      <c r="E25" s="27" t="s">
        <v>1359</v>
      </c>
      <c r="F25" s="27" t="s">
        <v>1323</v>
      </c>
      <c r="G25" s="27" t="s">
        <v>1360</v>
      </c>
      <c r="H25" s="27" t="s">
        <v>1266</v>
      </c>
      <c r="I25" s="27" t="s">
        <v>1267</v>
      </c>
      <c r="J25" s="27" t="s">
        <v>1268</v>
      </c>
    </row>
    <row r="26" spans="1:10" ht="45.75" customHeight="1">
      <c r="A26" s="29" t="s">
        <v>1361</v>
      </c>
      <c r="B26" s="29" t="s">
        <v>1362</v>
      </c>
      <c r="C26" s="29" t="s">
        <v>1343</v>
      </c>
      <c r="D26" s="29" t="s">
        <v>1363</v>
      </c>
      <c r="E26" s="29" t="s">
        <v>1291</v>
      </c>
      <c r="F26" s="29" t="s">
        <v>785</v>
      </c>
      <c r="G26" s="29" t="s">
        <v>45</v>
      </c>
      <c r="H26" s="29" t="s">
        <v>1266</v>
      </c>
      <c r="I26" s="29" t="s">
        <v>1267</v>
      </c>
      <c r="J26" s="29" t="s">
        <v>1268</v>
      </c>
    </row>
    <row r="27" spans="1:10" ht="45.75" customHeight="1">
      <c r="A27" s="27" t="s">
        <v>1364</v>
      </c>
      <c r="B27" s="27" t="s">
        <v>1365</v>
      </c>
      <c r="C27" s="27" t="s">
        <v>1343</v>
      </c>
      <c r="D27" s="27" t="s">
        <v>1366</v>
      </c>
      <c r="E27" s="27" t="s">
        <v>1367</v>
      </c>
      <c r="F27" s="27" t="s">
        <v>1368</v>
      </c>
      <c r="G27" s="27" t="s">
        <v>45</v>
      </c>
      <c r="H27" s="27" t="s">
        <v>1266</v>
      </c>
      <c r="I27" s="27" t="s">
        <v>1267</v>
      </c>
      <c r="J27" s="27" t="s">
        <v>1268</v>
      </c>
    </row>
    <row r="28" spans="1:10" ht="45.75" customHeight="1">
      <c r="A28" s="29" t="s">
        <v>1369</v>
      </c>
      <c r="B28" s="29" t="s">
        <v>1370</v>
      </c>
      <c r="C28" s="29" t="s">
        <v>1343</v>
      </c>
      <c r="D28" s="29" t="s">
        <v>1371</v>
      </c>
      <c r="E28" s="29" t="s">
        <v>1291</v>
      </c>
      <c r="F28" s="29" t="s">
        <v>785</v>
      </c>
      <c r="G28" s="29" t="s">
        <v>1372</v>
      </c>
      <c r="H28" s="29" t="s">
        <v>1266</v>
      </c>
      <c r="I28" s="29" t="s">
        <v>1267</v>
      </c>
      <c r="J28" s="29" t="s">
        <v>1268</v>
      </c>
    </row>
    <row r="29" spans="1:10" ht="45.75" customHeight="1">
      <c r="A29" s="27" t="s">
        <v>1373</v>
      </c>
      <c r="B29" s="27" t="s">
        <v>1374</v>
      </c>
      <c r="C29" s="27" t="s">
        <v>1343</v>
      </c>
      <c r="D29" s="27" t="s">
        <v>1375</v>
      </c>
      <c r="E29" s="27" t="s">
        <v>1376</v>
      </c>
      <c r="F29" s="27" t="s">
        <v>567</v>
      </c>
      <c r="G29" s="27" t="s">
        <v>1377</v>
      </c>
      <c r="H29" s="27" t="s">
        <v>1266</v>
      </c>
      <c r="I29" s="27" t="s">
        <v>1267</v>
      </c>
      <c r="J29" s="27" t="s">
        <v>1268</v>
      </c>
    </row>
    <row r="30" spans="1:10" ht="45.75" customHeight="1">
      <c r="A30" s="29" t="s">
        <v>1378</v>
      </c>
      <c r="B30" s="29" t="s">
        <v>1379</v>
      </c>
      <c r="C30" s="29" t="s">
        <v>1343</v>
      </c>
      <c r="D30" s="29" t="s">
        <v>1380</v>
      </c>
      <c r="E30" s="29" t="s">
        <v>426</v>
      </c>
      <c r="F30" s="29" t="s">
        <v>1335</v>
      </c>
      <c r="G30" s="29" t="s">
        <v>1381</v>
      </c>
      <c r="H30" s="29" t="s">
        <v>1266</v>
      </c>
      <c r="I30" s="29" t="s">
        <v>1267</v>
      </c>
      <c r="J30" s="29" t="s">
        <v>1268</v>
      </c>
    </row>
    <row r="31" spans="1:10" ht="45.75" customHeight="1">
      <c r="A31" s="27" t="s">
        <v>1382</v>
      </c>
      <c r="B31" s="27" t="s">
        <v>1383</v>
      </c>
      <c r="C31" s="27" t="s">
        <v>1343</v>
      </c>
      <c r="D31" s="27" t="s">
        <v>1384</v>
      </c>
      <c r="E31" s="27" t="s">
        <v>426</v>
      </c>
      <c r="F31" s="27" t="s">
        <v>567</v>
      </c>
      <c r="G31" s="27" t="s">
        <v>1385</v>
      </c>
      <c r="H31" s="27" t="s">
        <v>1266</v>
      </c>
      <c r="I31" s="27" t="s">
        <v>1267</v>
      </c>
      <c r="J31" s="27" t="s">
        <v>1268</v>
      </c>
    </row>
    <row r="32" spans="1:10" ht="35.25" customHeight="1">
      <c r="A32" s="29" t="s">
        <v>959</v>
      </c>
      <c r="B32" s="29" t="s">
        <v>1386</v>
      </c>
      <c r="C32" s="29" t="s">
        <v>1387</v>
      </c>
      <c r="D32" s="29" t="s">
        <v>1388</v>
      </c>
      <c r="E32" s="29" t="s">
        <v>1389</v>
      </c>
      <c r="F32" s="29" t="s">
        <v>1390</v>
      </c>
      <c r="G32" s="29" t="s">
        <v>55</v>
      </c>
      <c r="H32" s="29" t="s">
        <v>1266</v>
      </c>
      <c r="I32" s="29" t="s">
        <v>1267</v>
      </c>
      <c r="J32" s="29" t="s">
        <v>1268</v>
      </c>
    </row>
    <row r="33" spans="1:10" ht="35.25" customHeight="1">
      <c r="A33" s="27" t="s">
        <v>1391</v>
      </c>
      <c r="B33" s="27" t="s">
        <v>1392</v>
      </c>
      <c r="C33" s="27" t="s">
        <v>1387</v>
      </c>
      <c r="D33" s="27" t="s">
        <v>1393</v>
      </c>
      <c r="E33" s="27" t="s">
        <v>1339</v>
      </c>
      <c r="F33" s="27" t="s">
        <v>1394</v>
      </c>
      <c r="G33" s="27" t="s">
        <v>55</v>
      </c>
      <c r="H33" s="27" t="s">
        <v>1266</v>
      </c>
      <c r="I33" s="27" t="s">
        <v>1267</v>
      </c>
      <c r="J33" s="27" t="s">
        <v>1268</v>
      </c>
    </row>
    <row r="34" spans="1:10" ht="35.25" customHeight="1">
      <c r="A34" s="29" t="s">
        <v>1395</v>
      </c>
      <c r="B34" s="29" t="s">
        <v>1396</v>
      </c>
      <c r="C34" s="29" t="s">
        <v>1387</v>
      </c>
      <c r="D34" s="29" t="s">
        <v>1397</v>
      </c>
      <c r="E34" s="29" t="s">
        <v>1398</v>
      </c>
      <c r="F34" s="29" t="s">
        <v>1399</v>
      </c>
      <c r="G34" s="29" t="s">
        <v>55</v>
      </c>
      <c r="H34" s="29" t="s">
        <v>1266</v>
      </c>
      <c r="I34" s="29" t="s">
        <v>1267</v>
      </c>
      <c r="J34" s="29" t="s">
        <v>1268</v>
      </c>
    </row>
    <row r="35" spans="1:10" ht="45.75" customHeight="1">
      <c r="A35" s="27" t="s">
        <v>1400</v>
      </c>
      <c r="B35" s="27" t="s">
        <v>1401</v>
      </c>
      <c r="C35" s="27" t="s">
        <v>1387</v>
      </c>
      <c r="D35" s="27" t="s">
        <v>1402</v>
      </c>
      <c r="E35" s="27" t="s">
        <v>1403</v>
      </c>
      <c r="F35" s="27" t="s">
        <v>1404</v>
      </c>
      <c r="G35" s="27" t="s">
        <v>55</v>
      </c>
      <c r="H35" s="27" t="s">
        <v>1266</v>
      </c>
      <c r="I35" s="27" t="s">
        <v>1267</v>
      </c>
      <c r="J35" s="27" t="s">
        <v>1268</v>
      </c>
    </row>
    <row r="36" spans="1:10" ht="35.25" customHeight="1">
      <c r="A36" s="29" t="s">
        <v>1405</v>
      </c>
      <c r="B36" s="29" t="s">
        <v>1406</v>
      </c>
      <c r="C36" s="29" t="s">
        <v>1387</v>
      </c>
      <c r="D36" s="29" t="s">
        <v>1407</v>
      </c>
      <c r="E36" s="29" t="s">
        <v>1408</v>
      </c>
      <c r="F36" s="29" t="s">
        <v>1335</v>
      </c>
      <c r="G36" s="29" t="s">
        <v>55</v>
      </c>
      <c r="H36" s="29" t="s">
        <v>1266</v>
      </c>
      <c r="I36" s="29" t="s">
        <v>1267</v>
      </c>
      <c r="J36" s="29" t="s">
        <v>1268</v>
      </c>
    </row>
    <row r="37" spans="1:10" ht="35.25" customHeight="1">
      <c r="A37" s="27" t="s">
        <v>1409</v>
      </c>
      <c r="B37" s="27" t="s">
        <v>1410</v>
      </c>
      <c r="C37" s="27" t="s">
        <v>1411</v>
      </c>
      <c r="D37" s="27" t="s">
        <v>1412</v>
      </c>
      <c r="E37" s="27" t="s">
        <v>1413</v>
      </c>
      <c r="F37" s="27" t="s">
        <v>483</v>
      </c>
      <c r="G37" s="27" t="s">
        <v>35</v>
      </c>
      <c r="H37" s="27" t="s">
        <v>1266</v>
      </c>
      <c r="I37" s="27" t="s">
        <v>1267</v>
      </c>
      <c r="J37" s="27" t="s">
        <v>1268</v>
      </c>
    </row>
    <row r="38" spans="1:10" ht="35.25" customHeight="1">
      <c r="A38" s="29" t="s">
        <v>1414</v>
      </c>
      <c r="B38" s="29" t="s">
        <v>1415</v>
      </c>
      <c r="C38" s="29" t="s">
        <v>1411</v>
      </c>
      <c r="D38" s="29" t="s">
        <v>1416</v>
      </c>
      <c r="E38" s="29" t="s">
        <v>1417</v>
      </c>
      <c r="F38" s="29" t="s">
        <v>611</v>
      </c>
      <c r="G38" s="29" t="s">
        <v>30</v>
      </c>
      <c r="H38" s="29" t="s">
        <v>1266</v>
      </c>
      <c r="I38" s="29" t="s">
        <v>1267</v>
      </c>
      <c r="J38" s="29" t="s">
        <v>1268</v>
      </c>
    </row>
    <row r="39" spans="1:10" ht="35.25" customHeight="1">
      <c r="A39" s="27" t="s">
        <v>1418</v>
      </c>
      <c r="B39" s="27" t="s">
        <v>1419</v>
      </c>
      <c r="C39" s="27" t="s">
        <v>1411</v>
      </c>
      <c r="D39" s="27" t="s">
        <v>1420</v>
      </c>
      <c r="E39" s="27" t="s">
        <v>1421</v>
      </c>
      <c r="F39" s="27" t="s">
        <v>1422</v>
      </c>
      <c r="G39" s="27" t="s">
        <v>1293</v>
      </c>
      <c r="H39" s="27" t="s">
        <v>1266</v>
      </c>
      <c r="I39" s="27" t="s">
        <v>1267</v>
      </c>
      <c r="J39" s="27" t="s">
        <v>1268</v>
      </c>
    </row>
    <row r="40" spans="1:10" ht="35.25" customHeight="1">
      <c r="A40" s="29" t="s">
        <v>1423</v>
      </c>
      <c r="B40" s="29" t="s">
        <v>1424</v>
      </c>
      <c r="C40" s="29" t="s">
        <v>1411</v>
      </c>
      <c r="D40" s="29" t="s">
        <v>1425</v>
      </c>
      <c r="E40" s="29" t="s">
        <v>1426</v>
      </c>
      <c r="F40" s="29" t="s">
        <v>1276</v>
      </c>
      <c r="G40" s="29" t="s">
        <v>1427</v>
      </c>
      <c r="H40" s="29" t="s">
        <v>1266</v>
      </c>
      <c r="I40" s="29" t="s">
        <v>1267</v>
      </c>
      <c r="J40" s="29" t="s">
        <v>1268</v>
      </c>
    </row>
    <row r="41" spans="1:10" ht="35.25" customHeight="1">
      <c r="A41" s="27" t="s">
        <v>1428</v>
      </c>
      <c r="B41" s="27" t="s">
        <v>1429</v>
      </c>
      <c r="C41" s="27" t="s">
        <v>1411</v>
      </c>
      <c r="D41" s="27" t="s">
        <v>1430</v>
      </c>
      <c r="E41" s="27" t="s">
        <v>1431</v>
      </c>
      <c r="F41" s="27" t="s">
        <v>1432</v>
      </c>
      <c r="G41" s="27" t="s">
        <v>30</v>
      </c>
      <c r="H41" s="27" t="s">
        <v>1266</v>
      </c>
      <c r="I41" s="27" t="s">
        <v>1267</v>
      </c>
      <c r="J41" s="27" t="s">
        <v>1268</v>
      </c>
    </row>
    <row r="42" spans="1:10" ht="35.25" customHeight="1">
      <c r="A42" s="29" t="s">
        <v>1433</v>
      </c>
      <c r="B42" s="29" t="s">
        <v>1434</v>
      </c>
      <c r="C42" s="29" t="s">
        <v>1411</v>
      </c>
      <c r="D42" s="29" t="s">
        <v>1435</v>
      </c>
      <c r="E42" s="29" t="s">
        <v>1280</v>
      </c>
      <c r="F42" s="29" t="s">
        <v>1281</v>
      </c>
      <c r="G42" s="29" t="s">
        <v>1436</v>
      </c>
      <c r="H42" s="29" t="s">
        <v>1266</v>
      </c>
      <c r="I42" s="29" t="s">
        <v>1267</v>
      </c>
      <c r="J42" s="29" t="s">
        <v>1268</v>
      </c>
    </row>
    <row r="43" spans="1:10" ht="35.25" customHeight="1">
      <c r="A43" s="27" t="s">
        <v>1437</v>
      </c>
      <c r="B43" s="27" t="s">
        <v>1438</v>
      </c>
      <c r="C43" s="27" t="s">
        <v>1411</v>
      </c>
      <c r="D43" s="27" t="s">
        <v>1439</v>
      </c>
      <c r="E43" s="27" t="s">
        <v>1440</v>
      </c>
      <c r="F43" s="27" t="s">
        <v>567</v>
      </c>
      <c r="G43" s="27" t="s">
        <v>1441</v>
      </c>
      <c r="H43" s="27" t="s">
        <v>1266</v>
      </c>
      <c r="I43" s="27" t="s">
        <v>1267</v>
      </c>
      <c r="J43" s="27" t="s">
        <v>1268</v>
      </c>
    </row>
    <row r="44" spans="1:10" ht="35.25" customHeight="1">
      <c r="A44" s="29" t="s">
        <v>1442</v>
      </c>
      <c r="B44" s="29" t="s">
        <v>1443</v>
      </c>
      <c r="C44" s="29" t="s">
        <v>1411</v>
      </c>
      <c r="D44" s="29" t="s">
        <v>1444</v>
      </c>
      <c r="E44" s="29" t="s">
        <v>1445</v>
      </c>
      <c r="F44" s="29" t="s">
        <v>1446</v>
      </c>
      <c r="G44" s="29" t="s">
        <v>40</v>
      </c>
      <c r="H44" s="29" t="s">
        <v>1266</v>
      </c>
      <c r="I44" s="29" t="s">
        <v>1267</v>
      </c>
      <c r="J44" s="29" t="s">
        <v>1268</v>
      </c>
    </row>
    <row r="45" spans="1:10" ht="35.25" customHeight="1">
      <c r="A45" s="27" t="s">
        <v>1447</v>
      </c>
      <c r="B45" s="27" t="s">
        <v>1448</v>
      </c>
      <c r="C45" s="27" t="s">
        <v>1411</v>
      </c>
      <c r="D45" s="27" t="s">
        <v>1449</v>
      </c>
      <c r="E45" s="27" t="s">
        <v>1450</v>
      </c>
      <c r="F45" s="27" t="s">
        <v>1451</v>
      </c>
      <c r="G45" s="27" t="s">
        <v>45</v>
      </c>
      <c r="H45" s="27" t="s">
        <v>1266</v>
      </c>
      <c r="I45" s="27" t="s">
        <v>1267</v>
      </c>
      <c r="J45" s="27" t="s">
        <v>1268</v>
      </c>
    </row>
    <row r="46" spans="1:10" ht="45.75" customHeight="1">
      <c r="A46" s="29" t="s">
        <v>1452</v>
      </c>
      <c r="B46" s="29" t="s">
        <v>1453</v>
      </c>
      <c r="C46" s="29" t="s">
        <v>1411</v>
      </c>
      <c r="D46" s="29" t="s">
        <v>1454</v>
      </c>
      <c r="E46" s="29" t="s">
        <v>1455</v>
      </c>
      <c r="F46" s="29" t="s">
        <v>1456</v>
      </c>
      <c r="G46" s="29" t="s">
        <v>45</v>
      </c>
      <c r="H46" s="29" t="s">
        <v>1266</v>
      </c>
      <c r="I46" s="29" t="s">
        <v>1267</v>
      </c>
      <c r="J46" s="29" t="s">
        <v>1268</v>
      </c>
    </row>
    <row r="47" spans="1:10" ht="45.75" customHeight="1">
      <c r="A47" s="27" t="s">
        <v>1457</v>
      </c>
      <c r="B47" s="27" t="s">
        <v>1458</v>
      </c>
      <c r="C47" s="27" t="s">
        <v>1411</v>
      </c>
      <c r="D47" s="27" t="s">
        <v>1459</v>
      </c>
      <c r="E47" s="27" t="s">
        <v>426</v>
      </c>
      <c r="F47" s="27" t="s">
        <v>1460</v>
      </c>
      <c r="G47" s="27" t="s">
        <v>55</v>
      </c>
      <c r="H47" s="27" t="s">
        <v>1266</v>
      </c>
      <c r="I47" s="27" t="s">
        <v>1267</v>
      </c>
      <c r="J47" s="27" t="s">
        <v>1268</v>
      </c>
    </row>
    <row r="48" spans="1:10" ht="45.75" customHeight="1">
      <c r="A48" s="29" t="s">
        <v>1461</v>
      </c>
      <c r="B48" s="29" t="s">
        <v>1462</v>
      </c>
      <c r="C48" s="29" t="s">
        <v>1411</v>
      </c>
      <c r="D48" s="29" t="s">
        <v>1463</v>
      </c>
      <c r="E48" s="29" t="s">
        <v>1464</v>
      </c>
      <c r="F48" s="29" t="s">
        <v>1465</v>
      </c>
      <c r="G48" s="29" t="s">
        <v>45</v>
      </c>
      <c r="H48" s="29" t="s">
        <v>1266</v>
      </c>
      <c r="I48" s="29" t="s">
        <v>1267</v>
      </c>
      <c r="J48" s="29" t="s">
        <v>1268</v>
      </c>
    </row>
    <row r="49" spans="1:10" ht="45.75" customHeight="1">
      <c r="A49" s="27" t="s">
        <v>1466</v>
      </c>
      <c r="B49" s="27" t="s">
        <v>1467</v>
      </c>
      <c r="C49" s="27" t="s">
        <v>1411</v>
      </c>
      <c r="D49" s="27" t="s">
        <v>1468</v>
      </c>
      <c r="E49" s="27" t="s">
        <v>481</v>
      </c>
      <c r="F49" s="27" t="s">
        <v>483</v>
      </c>
      <c r="G49" s="27" t="s">
        <v>35</v>
      </c>
      <c r="H49" s="27" t="s">
        <v>1266</v>
      </c>
      <c r="I49" s="27" t="s">
        <v>1267</v>
      </c>
      <c r="J49" s="27" t="s">
        <v>1268</v>
      </c>
    </row>
    <row r="50" spans="1:10" ht="45.75" customHeight="1">
      <c r="A50" s="29" t="s">
        <v>1469</v>
      </c>
      <c r="B50" s="29" t="s">
        <v>1470</v>
      </c>
      <c r="C50" s="29" t="s">
        <v>1411</v>
      </c>
      <c r="D50" s="29" t="s">
        <v>1471</v>
      </c>
      <c r="E50" s="29" t="s">
        <v>1472</v>
      </c>
      <c r="F50" s="29" t="s">
        <v>1473</v>
      </c>
      <c r="G50" s="29" t="s">
        <v>55</v>
      </c>
      <c r="H50" s="29" t="s">
        <v>1266</v>
      </c>
      <c r="I50" s="29" t="s">
        <v>1267</v>
      </c>
      <c r="J50" s="29" t="s">
        <v>1268</v>
      </c>
    </row>
    <row r="51" spans="1:10" ht="45.75" customHeight="1">
      <c r="A51" s="27" t="s">
        <v>1474</v>
      </c>
      <c r="B51" s="27" t="s">
        <v>1475</v>
      </c>
      <c r="C51" s="27" t="s">
        <v>1411</v>
      </c>
      <c r="D51" s="27" t="s">
        <v>1476</v>
      </c>
      <c r="E51" s="27" t="s">
        <v>617</v>
      </c>
      <c r="F51" s="27" t="s">
        <v>785</v>
      </c>
      <c r="G51" s="27" t="s">
        <v>50</v>
      </c>
      <c r="H51" s="27" t="s">
        <v>1266</v>
      </c>
      <c r="I51" s="27" t="s">
        <v>1267</v>
      </c>
      <c r="J51" s="27" t="s">
        <v>1268</v>
      </c>
    </row>
    <row r="52" spans="1:10" ht="35.25" customHeight="1">
      <c r="A52" s="29" t="s">
        <v>1477</v>
      </c>
      <c r="B52" s="29" t="s">
        <v>1478</v>
      </c>
      <c r="C52" s="29" t="s">
        <v>1411</v>
      </c>
      <c r="D52" s="29" t="s">
        <v>1479</v>
      </c>
      <c r="E52" s="29" t="s">
        <v>426</v>
      </c>
      <c r="F52" s="29" t="s">
        <v>1335</v>
      </c>
      <c r="G52" s="29" t="s">
        <v>55</v>
      </c>
      <c r="H52" s="29" t="s">
        <v>1266</v>
      </c>
      <c r="I52" s="29" t="s">
        <v>1267</v>
      </c>
      <c r="J52" s="29" t="s">
        <v>1268</v>
      </c>
    </row>
    <row r="53" spans="1:10" ht="45.75" customHeight="1">
      <c r="A53" s="27" t="s">
        <v>1480</v>
      </c>
      <c r="B53" s="27" t="s">
        <v>1481</v>
      </c>
      <c r="C53" s="27" t="s">
        <v>1411</v>
      </c>
      <c r="D53" s="27" t="s">
        <v>1482</v>
      </c>
      <c r="E53" s="27" t="s">
        <v>426</v>
      </c>
      <c r="F53" s="27" t="s">
        <v>567</v>
      </c>
      <c r="G53" s="27" t="s">
        <v>55</v>
      </c>
      <c r="H53" s="27" t="s">
        <v>1266</v>
      </c>
      <c r="I53" s="27" t="s">
        <v>1267</v>
      </c>
      <c r="J53" s="27" t="s">
        <v>1268</v>
      </c>
    </row>
    <row r="54" spans="1:10" ht="45.75" customHeight="1">
      <c r="A54" s="29" t="s">
        <v>1483</v>
      </c>
      <c r="B54" s="29" t="s">
        <v>1484</v>
      </c>
      <c r="C54" s="29" t="s">
        <v>1411</v>
      </c>
      <c r="D54" s="29" t="s">
        <v>1485</v>
      </c>
      <c r="E54" s="29" t="s">
        <v>426</v>
      </c>
      <c r="F54" s="29" t="s">
        <v>567</v>
      </c>
      <c r="G54" s="29" t="s">
        <v>55</v>
      </c>
      <c r="H54" s="29" t="s">
        <v>1486</v>
      </c>
      <c r="I54" s="29" t="s">
        <v>1267</v>
      </c>
      <c r="J54" s="29" t="s">
        <v>1268</v>
      </c>
    </row>
    <row r="55" spans="1:10" ht="45.75" customHeight="1">
      <c r="A55" s="27" t="s">
        <v>1487</v>
      </c>
      <c r="B55" s="27" t="s">
        <v>1488</v>
      </c>
      <c r="C55" s="27" t="s">
        <v>1411</v>
      </c>
      <c r="D55" s="27" t="s">
        <v>1489</v>
      </c>
      <c r="E55" s="27" t="s">
        <v>426</v>
      </c>
      <c r="F55" s="27" t="s">
        <v>567</v>
      </c>
      <c r="G55" s="27" t="s">
        <v>55</v>
      </c>
      <c r="H55" s="27" t="s">
        <v>1486</v>
      </c>
      <c r="I55" s="27" t="s">
        <v>1267</v>
      </c>
      <c r="J55" s="27" t="s">
        <v>1268</v>
      </c>
    </row>
    <row r="56" spans="1:10" ht="45.75" customHeight="1">
      <c r="A56" s="29" t="s">
        <v>1490</v>
      </c>
      <c r="B56" s="29" t="s">
        <v>1491</v>
      </c>
      <c r="C56" s="29" t="s">
        <v>1411</v>
      </c>
      <c r="D56" s="29" t="s">
        <v>1492</v>
      </c>
      <c r="E56" s="29" t="s">
        <v>426</v>
      </c>
      <c r="F56" s="29" t="s">
        <v>567</v>
      </c>
      <c r="G56" s="29" t="s">
        <v>55</v>
      </c>
      <c r="H56" s="29" t="s">
        <v>1266</v>
      </c>
      <c r="I56" s="29" t="s">
        <v>1267</v>
      </c>
      <c r="J56" s="29" t="s">
        <v>1268</v>
      </c>
    </row>
    <row r="57" spans="1:10" ht="35.25" customHeight="1">
      <c r="A57" s="27" t="s">
        <v>1493</v>
      </c>
      <c r="B57" s="27" t="s">
        <v>1494</v>
      </c>
      <c r="C57" s="27" t="s">
        <v>1411</v>
      </c>
      <c r="D57" s="27" t="s">
        <v>1495</v>
      </c>
      <c r="E57" s="27" t="s">
        <v>426</v>
      </c>
      <c r="F57" s="27" t="s">
        <v>507</v>
      </c>
      <c r="G57" s="27" t="s">
        <v>55</v>
      </c>
      <c r="H57" s="27" t="s">
        <v>1266</v>
      </c>
      <c r="I57" s="27" t="s">
        <v>1267</v>
      </c>
      <c r="J57" s="27" t="s">
        <v>1268</v>
      </c>
    </row>
    <row r="58" spans="1:10" ht="45.75" customHeight="1">
      <c r="A58" s="29" t="s">
        <v>1496</v>
      </c>
      <c r="B58" s="29" t="s">
        <v>1497</v>
      </c>
      <c r="C58" s="29" t="s">
        <v>1411</v>
      </c>
      <c r="D58" s="29" t="s">
        <v>1498</v>
      </c>
      <c r="E58" s="29" t="s">
        <v>654</v>
      </c>
      <c r="F58" s="29" t="s">
        <v>1499</v>
      </c>
      <c r="G58" s="29" t="s">
        <v>35</v>
      </c>
      <c r="H58" s="29" t="s">
        <v>1266</v>
      </c>
      <c r="I58" s="29" t="s">
        <v>1267</v>
      </c>
      <c r="J58" s="29" t="s">
        <v>1268</v>
      </c>
    </row>
    <row r="59" spans="1:10" ht="45.75" customHeight="1">
      <c r="A59" s="27" t="s">
        <v>1500</v>
      </c>
      <c r="B59" s="27" t="s">
        <v>1501</v>
      </c>
      <c r="C59" s="27" t="s">
        <v>1411</v>
      </c>
      <c r="D59" s="27" t="s">
        <v>1502</v>
      </c>
      <c r="E59" s="27" t="s">
        <v>518</v>
      </c>
      <c r="F59" s="27" t="s">
        <v>1503</v>
      </c>
      <c r="G59" s="27" t="s">
        <v>45</v>
      </c>
      <c r="H59" s="27" t="s">
        <v>1266</v>
      </c>
      <c r="I59" s="27" t="s">
        <v>1267</v>
      </c>
      <c r="J59" s="27" t="s">
        <v>1268</v>
      </c>
    </row>
    <row r="60" spans="1:10" ht="45.75" customHeight="1">
      <c r="A60" s="29" t="s">
        <v>1504</v>
      </c>
      <c r="B60" s="29" t="s">
        <v>1505</v>
      </c>
      <c r="C60" s="29" t="s">
        <v>1411</v>
      </c>
      <c r="D60" s="29" t="s">
        <v>1506</v>
      </c>
      <c r="E60" s="29" t="s">
        <v>744</v>
      </c>
      <c r="F60" s="29" t="s">
        <v>1507</v>
      </c>
      <c r="G60" s="29" t="s">
        <v>45</v>
      </c>
      <c r="H60" s="29" t="s">
        <v>1266</v>
      </c>
      <c r="I60" s="29" t="s">
        <v>1267</v>
      </c>
      <c r="J60" s="29" t="s">
        <v>1268</v>
      </c>
    </row>
    <row r="61" spans="1:10" ht="45.75" customHeight="1">
      <c r="A61" s="27" t="s">
        <v>1508</v>
      </c>
      <c r="B61" s="27" t="s">
        <v>1509</v>
      </c>
      <c r="C61" s="27" t="s">
        <v>1411</v>
      </c>
      <c r="D61" s="27" t="s">
        <v>1510</v>
      </c>
      <c r="E61" s="27" t="s">
        <v>1280</v>
      </c>
      <c r="F61" s="27" t="s">
        <v>1511</v>
      </c>
      <c r="G61" s="27" t="s">
        <v>55</v>
      </c>
      <c r="H61" s="27" t="s">
        <v>1266</v>
      </c>
      <c r="I61" s="27" t="s">
        <v>1267</v>
      </c>
      <c r="J61" s="27" t="s">
        <v>1268</v>
      </c>
    </row>
    <row r="62" spans="1:10" ht="45.75" customHeight="1">
      <c r="A62" s="29" t="s">
        <v>1512</v>
      </c>
      <c r="B62" s="29" t="s">
        <v>1513</v>
      </c>
      <c r="C62" s="29" t="s">
        <v>1411</v>
      </c>
      <c r="D62" s="29" t="s">
        <v>1514</v>
      </c>
      <c r="E62" s="29" t="s">
        <v>426</v>
      </c>
      <c r="F62" s="29" t="s">
        <v>567</v>
      </c>
      <c r="G62" s="29" t="s">
        <v>55</v>
      </c>
      <c r="H62" s="29" t="s">
        <v>1486</v>
      </c>
      <c r="I62" s="29" t="s">
        <v>1267</v>
      </c>
      <c r="J62" s="29" t="s">
        <v>1268</v>
      </c>
    </row>
    <row r="63" spans="1:10" ht="45.75" customHeight="1">
      <c r="A63" s="27" t="s">
        <v>1515</v>
      </c>
      <c r="B63" s="27" t="s">
        <v>1516</v>
      </c>
      <c r="C63" s="27" t="s">
        <v>1411</v>
      </c>
      <c r="D63" s="27" t="s">
        <v>1517</v>
      </c>
      <c r="E63" s="27" t="s">
        <v>709</v>
      </c>
      <c r="F63" s="27" t="s">
        <v>1311</v>
      </c>
      <c r="G63" s="27" t="s">
        <v>55</v>
      </c>
      <c r="H63" s="27" t="s">
        <v>1518</v>
      </c>
      <c r="I63" s="27" t="s">
        <v>1267</v>
      </c>
      <c r="J63" s="27" t="s">
        <v>1268</v>
      </c>
    </row>
    <row r="64" spans="1:10" ht="45.75" customHeight="1">
      <c r="A64" s="29" t="s">
        <v>1519</v>
      </c>
      <c r="B64" s="29" t="s">
        <v>1520</v>
      </c>
      <c r="C64" s="29" t="s">
        <v>1411</v>
      </c>
      <c r="D64" s="29" t="s">
        <v>1521</v>
      </c>
      <c r="E64" s="29" t="s">
        <v>426</v>
      </c>
      <c r="F64" s="29" t="s">
        <v>1522</v>
      </c>
      <c r="G64" s="29" t="s">
        <v>55</v>
      </c>
      <c r="H64" s="29" t="s">
        <v>1266</v>
      </c>
      <c r="I64" s="29" t="s">
        <v>1267</v>
      </c>
      <c r="J64" s="29" t="s">
        <v>1268</v>
      </c>
    </row>
    <row r="65" spans="1:10" ht="35.25" customHeight="1">
      <c r="A65" s="27" t="s">
        <v>1523</v>
      </c>
      <c r="B65" s="27" t="s">
        <v>1524</v>
      </c>
      <c r="C65" s="27" t="s">
        <v>1525</v>
      </c>
      <c r="D65" s="27" t="s">
        <v>1526</v>
      </c>
      <c r="E65" s="27" t="s">
        <v>1527</v>
      </c>
      <c r="F65" s="27" t="s">
        <v>1499</v>
      </c>
      <c r="G65" s="27" t="s">
        <v>1528</v>
      </c>
      <c r="H65" s="27" t="s">
        <v>1266</v>
      </c>
      <c r="I65" s="27" t="s">
        <v>1267</v>
      </c>
      <c r="J65" s="27" t="s">
        <v>1268</v>
      </c>
    </row>
    <row r="66" spans="1:10" ht="35.25" customHeight="1">
      <c r="A66" s="29" t="s">
        <v>1529</v>
      </c>
      <c r="B66" s="29" t="s">
        <v>1530</v>
      </c>
      <c r="C66" s="29" t="s">
        <v>1525</v>
      </c>
      <c r="D66" s="29" t="s">
        <v>1531</v>
      </c>
      <c r="E66" s="29" t="s">
        <v>1527</v>
      </c>
      <c r="F66" s="29" t="s">
        <v>1499</v>
      </c>
      <c r="G66" s="29" t="s">
        <v>1528</v>
      </c>
      <c r="H66" s="29" t="s">
        <v>1266</v>
      </c>
      <c r="I66" s="29" t="s">
        <v>1267</v>
      </c>
      <c r="J66" s="29" t="s">
        <v>1268</v>
      </c>
    </row>
    <row r="67" spans="1:10" ht="35.25" customHeight="1">
      <c r="A67" s="27" t="s">
        <v>1532</v>
      </c>
      <c r="B67" s="27" t="s">
        <v>1533</v>
      </c>
      <c r="C67" s="27" t="s">
        <v>1525</v>
      </c>
      <c r="D67" s="27" t="s">
        <v>301</v>
      </c>
      <c r="E67" s="27" t="s">
        <v>1527</v>
      </c>
      <c r="F67" s="27" t="s">
        <v>1499</v>
      </c>
      <c r="G67" s="27" t="s">
        <v>1528</v>
      </c>
      <c r="H67" s="27" t="s">
        <v>1266</v>
      </c>
      <c r="I67" s="27" t="s">
        <v>1267</v>
      </c>
      <c r="J67" s="27" t="s">
        <v>1268</v>
      </c>
    </row>
    <row r="68" spans="1:10" ht="35.25" customHeight="1">
      <c r="A68" s="29" t="s">
        <v>1534</v>
      </c>
      <c r="B68" s="29" t="s">
        <v>1535</v>
      </c>
      <c r="C68" s="29" t="s">
        <v>1525</v>
      </c>
      <c r="D68" s="29" t="s">
        <v>310</v>
      </c>
      <c r="E68" s="29" t="s">
        <v>1527</v>
      </c>
      <c r="F68" s="29" t="s">
        <v>1499</v>
      </c>
      <c r="G68" s="29" t="s">
        <v>1528</v>
      </c>
      <c r="H68" s="29" t="s">
        <v>1266</v>
      </c>
      <c r="I68" s="29" t="s">
        <v>1267</v>
      </c>
      <c r="J68" s="29" t="s">
        <v>1268</v>
      </c>
    </row>
    <row r="69" spans="1:10" ht="35.25" customHeight="1">
      <c r="A69" s="27" t="s">
        <v>1536</v>
      </c>
      <c r="B69" s="27" t="s">
        <v>1537</v>
      </c>
      <c r="C69" s="27" t="s">
        <v>1525</v>
      </c>
      <c r="D69" s="27" t="s">
        <v>307</v>
      </c>
      <c r="E69" s="27" t="s">
        <v>1527</v>
      </c>
      <c r="F69" s="27" t="s">
        <v>1499</v>
      </c>
      <c r="G69" s="27" t="s">
        <v>1528</v>
      </c>
      <c r="H69" s="27" t="s">
        <v>1266</v>
      </c>
      <c r="I69" s="27" t="s">
        <v>1267</v>
      </c>
      <c r="J69" s="27" t="s">
        <v>1268</v>
      </c>
    </row>
    <row r="70" spans="1:10" ht="35.25" customHeight="1">
      <c r="A70" s="29" t="s">
        <v>1538</v>
      </c>
      <c r="B70" s="29" t="s">
        <v>1539</v>
      </c>
      <c r="C70" s="29" t="s">
        <v>1525</v>
      </c>
      <c r="D70" s="29" t="s">
        <v>307</v>
      </c>
      <c r="E70" s="29" t="s">
        <v>1527</v>
      </c>
      <c r="F70" s="29" t="s">
        <v>1499</v>
      </c>
      <c r="G70" s="29" t="s">
        <v>1528</v>
      </c>
      <c r="H70" s="29" t="s">
        <v>1266</v>
      </c>
      <c r="I70" s="29" t="s">
        <v>1267</v>
      </c>
      <c r="J70" s="29" t="s">
        <v>1268</v>
      </c>
    </row>
    <row r="71" spans="1:10" ht="35.25" customHeight="1">
      <c r="A71" s="27" t="s">
        <v>1540</v>
      </c>
      <c r="B71" s="27" t="s">
        <v>1541</v>
      </c>
      <c r="C71" s="27" t="s">
        <v>1525</v>
      </c>
      <c r="D71" s="27" t="s">
        <v>1542</v>
      </c>
      <c r="E71" s="27" t="s">
        <v>1527</v>
      </c>
      <c r="F71" s="27" t="s">
        <v>1499</v>
      </c>
      <c r="G71" s="27" t="s">
        <v>1528</v>
      </c>
      <c r="H71" s="27" t="s">
        <v>1266</v>
      </c>
      <c r="I71" s="27" t="s">
        <v>1267</v>
      </c>
      <c r="J71" s="27" t="s">
        <v>1268</v>
      </c>
    </row>
    <row r="72" spans="1:10" ht="35.25" customHeight="1">
      <c r="A72" s="29" t="s">
        <v>1543</v>
      </c>
      <c r="B72" s="29" t="s">
        <v>1544</v>
      </c>
      <c r="C72" s="29" t="s">
        <v>1525</v>
      </c>
      <c r="D72" s="29" t="s">
        <v>1545</v>
      </c>
      <c r="E72" s="29" t="s">
        <v>1527</v>
      </c>
      <c r="F72" s="29" t="s">
        <v>1499</v>
      </c>
      <c r="G72" s="29" t="s">
        <v>1528</v>
      </c>
      <c r="H72" s="29" t="s">
        <v>1266</v>
      </c>
      <c r="I72" s="29" t="s">
        <v>1267</v>
      </c>
      <c r="J72" s="29" t="s">
        <v>1268</v>
      </c>
    </row>
    <row r="73" spans="1:10" ht="35.25" customHeight="1">
      <c r="A73" s="27" t="s">
        <v>1546</v>
      </c>
      <c r="B73" s="27" t="s">
        <v>1547</v>
      </c>
      <c r="C73" s="27" t="s">
        <v>1525</v>
      </c>
      <c r="D73" s="27" t="s">
        <v>1444</v>
      </c>
      <c r="E73" s="27" t="s">
        <v>1527</v>
      </c>
      <c r="F73" s="27" t="s">
        <v>1499</v>
      </c>
      <c r="G73" s="27" t="s">
        <v>1528</v>
      </c>
      <c r="H73" s="27" t="s">
        <v>1266</v>
      </c>
      <c r="I73" s="27" t="s">
        <v>1267</v>
      </c>
      <c r="J73" s="27" t="s">
        <v>1268</v>
      </c>
    </row>
    <row r="74" spans="1:10" ht="35.25" customHeight="1">
      <c r="A74" s="29" t="s">
        <v>1548</v>
      </c>
      <c r="B74" s="29" t="s">
        <v>1549</v>
      </c>
      <c r="C74" s="29" t="s">
        <v>1525</v>
      </c>
      <c r="D74" s="29" t="s">
        <v>1550</v>
      </c>
      <c r="E74" s="29" t="s">
        <v>1527</v>
      </c>
      <c r="F74" s="29" t="s">
        <v>1499</v>
      </c>
      <c r="G74" s="29" t="s">
        <v>1528</v>
      </c>
      <c r="H74" s="29" t="s">
        <v>1266</v>
      </c>
      <c r="I74" s="29" t="s">
        <v>1267</v>
      </c>
      <c r="J74" s="29" t="s">
        <v>1268</v>
      </c>
    </row>
    <row r="75" spans="1:10" ht="35.25" customHeight="1">
      <c r="A75" s="27" t="s">
        <v>1551</v>
      </c>
      <c r="B75" s="27" t="s">
        <v>1552</v>
      </c>
      <c r="C75" s="27" t="s">
        <v>1553</v>
      </c>
      <c r="D75" s="27" t="s">
        <v>248</v>
      </c>
      <c r="E75" s="27" t="s">
        <v>1554</v>
      </c>
      <c r="F75" s="27" t="s">
        <v>1503</v>
      </c>
      <c r="G75" s="27" t="s">
        <v>1555</v>
      </c>
      <c r="H75" s="27" t="s">
        <v>1266</v>
      </c>
      <c r="I75" s="27" t="s">
        <v>1267</v>
      </c>
      <c r="J75" s="27" t="s">
        <v>1268</v>
      </c>
    </row>
    <row r="76" spans="1:10" ht="35.25" customHeight="1">
      <c r="A76" s="29" t="s">
        <v>1556</v>
      </c>
      <c r="B76" s="29" t="s">
        <v>1557</v>
      </c>
      <c r="C76" s="29" t="s">
        <v>1553</v>
      </c>
      <c r="D76" s="29" t="s">
        <v>326</v>
      </c>
      <c r="E76" s="29" t="s">
        <v>1554</v>
      </c>
      <c r="F76" s="29" t="s">
        <v>1503</v>
      </c>
      <c r="G76" s="29" t="s">
        <v>1555</v>
      </c>
      <c r="H76" s="29" t="s">
        <v>1266</v>
      </c>
      <c r="I76" s="29" t="s">
        <v>1267</v>
      </c>
      <c r="J76" s="29" t="s">
        <v>1268</v>
      </c>
    </row>
    <row r="77" spans="1:10" ht="35.25" customHeight="1">
      <c r="A77" s="27" t="s">
        <v>1558</v>
      </c>
      <c r="B77" s="27" t="s">
        <v>1559</v>
      </c>
      <c r="C77" s="27" t="s">
        <v>1553</v>
      </c>
      <c r="D77" s="27" t="s">
        <v>1560</v>
      </c>
      <c r="E77" s="27" t="s">
        <v>1554</v>
      </c>
      <c r="F77" s="27" t="s">
        <v>1503</v>
      </c>
      <c r="G77" s="27" t="s">
        <v>1555</v>
      </c>
      <c r="H77" s="27" t="s">
        <v>1266</v>
      </c>
      <c r="I77" s="27" t="s">
        <v>1267</v>
      </c>
      <c r="J77" s="27" t="s">
        <v>1268</v>
      </c>
    </row>
    <row r="78" spans="1:10" ht="35.25" customHeight="1">
      <c r="A78" s="29" t="s">
        <v>1561</v>
      </c>
      <c r="B78" s="29" t="s">
        <v>1562</v>
      </c>
      <c r="C78" s="29" t="s">
        <v>1553</v>
      </c>
      <c r="D78" s="29" t="s">
        <v>326</v>
      </c>
      <c r="E78" s="29" t="s">
        <v>1554</v>
      </c>
      <c r="F78" s="29" t="s">
        <v>1503</v>
      </c>
      <c r="G78" s="29" t="s">
        <v>1555</v>
      </c>
      <c r="H78" s="29" t="s">
        <v>1266</v>
      </c>
      <c r="I78" s="29" t="s">
        <v>1267</v>
      </c>
      <c r="J78" s="29" t="s">
        <v>1268</v>
      </c>
    </row>
    <row r="79" spans="1:10" ht="35.25" customHeight="1">
      <c r="A79" s="27" t="s">
        <v>1563</v>
      </c>
      <c r="B79" s="27" t="s">
        <v>1564</v>
      </c>
      <c r="C79" s="27" t="s">
        <v>1553</v>
      </c>
      <c r="D79" s="27" t="s">
        <v>1565</v>
      </c>
      <c r="E79" s="27" t="s">
        <v>1554</v>
      </c>
      <c r="F79" s="27" t="s">
        <v>1503</v>
      </c>
      <c r="G79" s="27" t="s">
        <v>1555</v>
      </c>
      <c r="H79" s="27" t="s">
        <v>1266</v>
      </c>
      <c r="I79" s="27" t="s">
        <v>1267</v>
      </c>
      <c r="J79" s="27" t="s">
        <v>1268</v>
      </c>
    </row>
    <row r="80" spans="1:10" ht="35.25" customHeight="1">
      <c r="A80" s="29" t="s">
        <v>1566</v>
      </c>
      <c r="B80" s="29" t="s">
        <v>1567</v>
      </c>
      <c r="C80" s="29" t="s">
        <v>1553</v>
      </c>
      <c r="D80" s="29" t="s">
        <v>257</v>
      </c>
      <c r="E80" s="29" t="s">
        <v>1554</v>
      </c>
      <c r="F80" s="29" t="s">
        <v>1503</v>
      </c>
      <c r="G80" s="29" t="s">
        <v>1555</v>
      </c>
      <c r="H80" s="29" t="s">
        <v>1266</v>
      </c>
      <c r="I80" s="29" t="s">
        <v>1267</v>
      </c>
      <c r="J80" s="29" t="s">
        <v>1268</v>
      </c>
    </row>
    <row r="81" spans="1:10" ht="35.25" customHeight="1">
      <c r="A81" s="27" t="s">
        <v>1568</v>
      </c>
      <c r="B81" s="27" t="s">
        <v>1569</v>
      </c>
      <c r="C81" s="27" t="s">
        <v>1553</v>
      </c>
      <c r="D81" s="27" t="s">
        <v>388</v>
      </c>
      <c r="E81" s="27" t="s">
        <v>1554</v>
      </c>
      <c r="F81" s="27" t="s">
        <v>1503</v>
      </c>
      <c r="G81" s="27" t="s">
        <v>1555</v>
      </c>
      <c r="H81" s="27" t="s">
        <v>1266</v>
      </c>
      <c r="I81" s="27" t="s">
        <v>1267</v>
      </c>
      <c r="J81" s="27" t="s">
        <v>1268</v>
      </c>
    </row>
    <row r="82" spans="1:10" ht="35.25" customHeight="1">
      <c r="A82" s="29" t="s">
        <v>1570</v>
      </c>
      <c r="B82" s="29" t="s">
        <v>1571</v>
      </c>
      <c r="C82" s="29" t="s">
        <v>1553</v>
      </c>
      <c r="D82" s="29" t="s">
        <v>254</v>
      </c>
      <c r="E82" s="29" t="s">
        <v>1554</v>
      </c>
      <c r="F82" s="29" t="s">
        <v>1503</v>
      </c>
      <c r="G82" s="29" t="s">
        <v>1555</v>
      </c>
      <c r="H82" s="29" t="s">
        <v>1266</v>
      </c>
      <c r="I82" s="29" t="s">
        <v>1267</v>
      </c>
      <c r="J82" s="29" t="s">
        <v>1268</v>
      </c>
    </row>
    <row r="83" spans="1:10" ht="35.25" customHeight="1">
      <c r="A83" s="27" t="s">
        <v>1572</v>
      </c>
      <c r="B83" s="27" t="s">
        <v>1573</v>
      </c>
      <c r="C83" s="27" t="s">
        <v>1553</v>
      </c>
      <c r="D83" s="27" t="s">
        <v>1574</v>
      </c>
      <c r="E83" s="27" t="s">
        <v>1554</v>
      </c>
      <c r="F83" s="27" t="s">
        <v>1503</v>
      </c>
      <c r="G83" s="27" t="s">
        <v>1555</v>
      </c>
      <c r="H83" s="27" t="s">
        <v>1266</v>
      </c>
      <c r="I83" s="27" t="s">
        <v>1267</v>
      </c>
      <c r="J83" s="27" t="s">
        <v>1268</v>
      </c>
    </row>
    <row r="84" spans="1:10" ht="35.25" customHeight="1">
      <c r="A84" s="29" t="s">
        <v>1575</v>
      </c>
      <c r="B84" s="29" t="s">
        <v>1576</v>
      </c>
      <c r="C84" s="29" t="s">
        <v>1553</v>
      </c>
      <c r="D84" s="29" t="s">
        <v>379</v>
      </c>
      <c r="E84" s="29" t="s">
        <v>1554</v>
      </c>
      <c r="F84" s="29" t="s">
        <v>1503</v>
      </c>
      <c r="G84" s="29" t="s">
        <v>1555</v>
      </c>
      <c r="H84" s="29" t="s">
        <v>1266</v>
      </c>
      <c r="I84" s="29" t="s">
        <v>1267</v>
      </c>
      <c r="J84" s="29" t="s">
        <v>1268</v>
      </c>
    </row>
    <row r="85" spans="1:10" ht="35.25" customHeight="1">
      <c r="A85" s="27" t="s">
        <v>1577</v>
      </c>
      <c r="B85" s="27" t="s">
        <v>1578</v>
      </c>
      <c r="C85" s="27" t="s">
        <v>1553</v>
      </c>
      <c r="D85" s="27" t="s">
        <v>1545</v>
      </c>
      <c r="E85" s="27" t="s">
        <v>1554</v>
      </c>
      <c r="F85" s="27" t="s">
        <v>1503</v>
      </c>
      <c r="G85" s="27" t="s">
        <v>1555</v>
      </c>
      <c r="H85" s="27" t="s">
        <v>1266</v>
      </c>
      <c r="I85" s="27" t="s">
        <v>1267</v>
      </c>
      <c r="J85" s="27" t="s">
        <v>1268</v>
      </c>
    </row>
    <row r="86" spans="1:10" ht="35.25" customHeight="1">
      <c r="A86" s="29" t="s">
        <v>1579</v>
      </c>
      <c r="B86" s="29" t="s">
        <v>1580</v>
      </c>
      <c r="C86" s="29" t="s">
        <v>1553</v>
      </c>
      <c r="D86" s="29" t="s">
        <v>1581</v>
      </c>
      <c r="E86" s="29" t="s">
        <v>1554</v>
      </c>
      <c r="F86" s="29" t="s">
        <v>1503</v>
      </c>
      <c r="G86" s="29" t="s">
        <v>1555</v>
      </c>
      <c r="H86" s="29" t="s">
        <v>1266</v>
      </c>
      <c r="I86" s="29" t="s">
        <v>1267</v>
      </c>
      <c r="J86" s="29" t="s">
        <v>1268</v>
      </c>
    </row>
    <row r="87" spans="1:10" ht="45.75" customHeight="1">
      <c r="A87" s="27" t="s">
        <v>1582</v>
      </c>
      <c r="B87" s="27" t="s">
        <v>1583</v>
      </c>
      <c r="C87" s="27" t="s">
        <v>1584</v>
      </c>
      <c r="D87" s="27" t="s">
        <v>357</v>
      </c>
      <c r="E87" s="27" t="s">
        <v>426</v>
      </c>
      <c r="F87" s="27" t="s">
        <v>567</v>
      </c>
      <c r="G87" s="27" t="s">
        <v>55</v>
      </c>
      <c r="H87" s="27" t="s">
        <v>1585</v>
      </c>
      <c r="I87" s="27" t="s">
        <v>1586</v>
      </c>
      <c r="J87" s="27" t="s">
        <v>1268</v>
      </c>
    </row>
    <row r="88" spans="1:10" ht="62.25" customHeight="1">
      <c r="A88" s="29" t="s">
        <v>1587</v>
      </c>
      <c r="B88" s="29" t="s">
        <v>1588</v>
      </c>
      <c r="C88" s="29" t="s">
        <v>1589</v>
      </c>
      <c r="D88" s="29" t="s">
        <v>357</v>
      </c>
      <c r="E88" s="29" t="s">
        <v>426</v>
      </c>
      <c r="F88" s="29" t="s">
        <v>567</v>
      </c>
      <c r="G88" s="29" t="s">
        <v>55</v>
      </c>
      <c r="H88" s="29" t="s">
        <v>1585</v>
      </c>
      <c r="I88" s="29" t="s">
        <v>1590</v>
      </c>
      <c r="J88" s="29" t="s">
        <v>1268</v>
      </c>
    </row>
    <row r="89" spans="1:10" ht="62.25" customHeight="1">
      <c r="A89" s="27" t="s">
        <v>1591</v>
      </c>
      <c r="B89" s="27" t="s">
        <v>1592</v>
      </c>
      <c r="C89" s="27" t="s">
        <v>1593</v>
      </c>
      <c r="D89" s="27" t="s">
        <v>1594</v>
      </c>
      <c r="E89" s="27" t="s">
        <v>426</v>
      </c>
      <c r="F89" s="27" t="s">
        <v>567</v>
      </c>
      <c r="G89" s="27" t="s">
        <v>55</v>
      </c>
      <c r="H89" s="27" t="s">
        <v>1595</v>
      </c>
      <c r="I89" s="27" t="s">
        <v>1596</v>
      </c>
      <c r="J89" s="27" t="s">
        <v>1268</v>
      </c>
    </row>
    <row r="90" spans="1:10" ht="45.75" customHeight="1">
      <c r="A90" s="29" t="s">
        <v>1597</v>
      </c>
      <c r="B90" s="29" t="s">
        <v>1598</v>
      </c>
      <c r="C90" s="29" t="s">
        <v>1599</v>
      </c>
      <c r="D90" s="29" t="s">
        <v>1600</v>
      </c>
      <c r="E90" s="29" t="s">
        <v>426</v>
      </c>
      <c r="F90" s="29" t="s">
        <v>567</v>
      </c>
      <c r="G90" s="29" t="s">
        <v>55</v>
      </c>
      <c r="H90" s="29" t="s">
        <v>1585</v>
      </c>
      <c r="I90" s="29" t="s">
        <v>1601</v>
      </c>
      <c r="J90" s="29" t="s">
        <v>1268</v>
      </c>
    </row>
    <row r="91" spans="1:10" ht="62.25" customHeight="1">
      <c r="A91" s="27" t="s">
        <v>1602</v>
      </c>
      <c r="B91" s="27" t="s">
        <v>1603</v>
      </c>
      <c r="C91" s="27" t="s">
        <v>1604</v>
      </c>
      <c r="D91" s="27" t="s">
        <v>1605</v>
      </c>
      <c r="E91" s="27" t="s">
        <v>426</v>
      </c>
      <c r="F91" s="27" t="s">
        <v>567</v>
      </c>
      <c r="G91" s="27" t="s">
        <v>55</v>
      </c>
      <c r="H91" s="27" t="s">
        <v>1606</v>
      </c>
      <c r="I91" s="27" t="s">
        <v>1607</v>
      </c>
      <c r="J91" s="27" t="s">
        <v>1268</v>
      </c>
    </row>
    <row r="92" spans="1:10" ht="62.25" customHeight="1">
      <c r="A92" s="29" t="s">
        <v>1608</v>
      </c>
      <c r="B92" s="29" t="s">
        <v>1609</v>
      </c>
      <c r="C92" s="29" t="s">
        <v>1610</v>
      </c>
      <c r="D92" s="29" t="s">
        <v>1611</v>
      </c>
      <c r="E92" s="29" t="s">
        <v>426</v>
      </c>
      <c r="F92" s="29" t="s">
        <v>567</v>
      </c>
      <c r="G92" s="29" t="s">
        <v>55</v>
      </c>
      <c r="H92" s="29" t="s">
        <v>1612</v>
      </c>
      <c r="I92" s="29" t="s">
        <v>1613</v>
      </c>
      <c r="J92" s="29" t="s">
        <v>1268</v>
      </c>
    </row>
    <row r="93" spans="1:10" ht="45.75" customHeight="1">
      <c r="A93" s="27" t="s">
        <v>1614</v>
      </c>
      <c r="B93" s="27" t="s">
        <v>1615</v>
      </c>
      <c r="C93" s="27" t="s">
        <v>1616</v>
      </c>
      <c r="D93" s="27" t="s">
        <v>1617</v>
      </c>
      <c r="E93" s="27" t="s">
        <v>426</v>
      </c>
      <c r="F93" s="27" t="s">
        <v>567</v>
      </c>
      <c r="G93" s="27" t="s">
        <v>55</v>
      </c>
      <c r="H93" s="27" t="s">
        <v>1618</v>
      </c>
      <c r="I93" s="27" t="s">
        <v>1619</v>
      </c>
      <c r="J93" s="27" t="s">
        <v>1268</v>
      </c>
    </row>
    <row r="94" spans="1:10" ht="62.25" customHeight="1">
      <c r="A94" s="29" t="s">
        <v>1620</v>
      </c>
      <c r="B94" s="29" t="s">
        <v>1621</v>
      </c>
      <c r="C94" s="29" t="s">
        <v>1622</v>
      </c>
      <c r="D94" s="29" t="s">
        <v>1623</v>
      </c>
      <c r="E94" s="29" t="s">
        <v>426</v>
      </c>
      <c r="F94" s="29" t="s">
        <v>567</v>
      </c>
      <c r="G94" s="29" t="s">
        <v>55</v>
      </c>
      <c r="H94" s="29" t="s">
        <v>1585</v>
      </c>
      <c r="I94" s="29" t="s">
        <v>1624</v>
      </c>
      <c r="J94" s="29" t="s">
        <v>1268</v>
      </c>
    </row>
  </sheetData>
  <autoFilter ref="A4:J94"/>
  <mergeCells count="2">
    <mergeCell ref="A1:J1"/>
    <mergeCell ref="A2:J2"/>
  </mergeCells>
  <hyperlinks>
    <hyperlink ref="A3" location="'Cover Page'!A1" display="← Cover Page"/>
    <hyperlink ref="D5" location="'Task Details'!A37" display="M4.1,M4.5,M4.7"/>
    <hyperlink ref="D6" location="'Task Details'!A13" display="M1.3,M3.3,M3.4"/>
    <hyperlink ref="D7" location="'Task Details'!A54" display="M6.3,M6.4,M6.8"/>
    <hyperlink ref="D8" location="'Task Details'!A20" display="M2.4,M2.8,M3.7,M6.4"/>
    <hyperlink ref="D9" location="'Task Details'!A32" display="M3.6,M7.5"/>
    <hyperlink ref="D10" location="'Task Details'!A31" display="M3.5,M6.4,M6.5"/>
    <hyperlink ref="D11" location="'Task Details'!A13" display="M1.3,M3.3,M6.7"/>
    <hyperlink ref="D12" location="'Task Details'!A31" display="M3.5,M3.6,M7.1"/>
    <hyperlink ref="D13" location="'Task Details'!A31" display="M3.5,M3.7"/>
    <hyperlink ref="D14" location="'Task Details'!A32" display="M3.6,M5.2,M8.7"/>
    <hyperlink ref="D15" location="'Task Details'!A41" display="M4.5,M5.1,M5.4"/>
    <hyperlink ref="D16" location="'Task Details'!A48" display="M5.3,M5.4"/>
    <hyperlink ref="D17" location="'Task Details'!A17" display="M2.1,M5.3"/>
    <hyperlink ref="D18" location="'Task Details'!A43" display="M4.7,M6.5,M7.1"/>
    <hyperlink ref="D19" location="'Task Details'!A57" display="M6.6,M6.7"/>
    <hyperlink ref="D20" location="'Task Details'!A63" display="M7.1,M7.2,M7.5"/>
    <hyperlink ref="D21" location="'Task Details'!A46" display="M5.1,M5.2,M5.4"/>
    <hyperlink ref="D22" location="'Task Details'!A52" display="M6.1,M6.5"/>
    <hyperlink ref="D23" location="'Task Details'!A32" display="M3.6,M5.2,M7.5,M8.7"/>
    <hyperlink ref="D24" location="'Task Details'!A52" display="M6.1,M6.5"/>
    <hyperlink ref="D25" location="'Task Details'!A47" display="M5.2,M5.4,M8.5"/>
    <hyperlink ref="D26" location="'Task Details'!A57" display="M6.6,M6.8"/>
    <hyperlink ref="D27" location="'Task Details'!A13" display="M1.3,M6.6,M6.7"/>
    <hyperlink ref="D28" location="'Task Details'!A57" display="M6.6,M7.1"/>
    <hyperlink ref="D29" location="'Task Details'!A58" display="M6.7,M8.5"/>
    <hyperlink ref="D30" location="'Task Details'!A7" display="M0.3,M7.4,M8.5"/>
    <hyperlink ref="D31" location="'Task Details'!A32" display="M3.6,M6.7,M8.1"/>
    <hyperlink ref="D32" location="'Task Details'!A24" display="M2.8,M3.7,M4.7,M6.8,M8.6"/>
    <hyperlink ref="D33" location="'Task Details'!A31" display="M3.5,M4.7,M6.8,M7.5,M8.6"/>
    <hyperlink ref="D34" location="'Task Details'!A49" display="M5.4,M6.8,M7.5,M8.6"/>
    <hyperlink ref="D35" location="'Task Details'!A47" display="M5.2,M6.5,M8.6,M8.7"/>
    <hyperlink ref="D36" location="'Task Details'!A57" display="M6.6,M6.7,M7.4,M8.6"/>
    <hyperlink ref="D37" location="'Task Details'!A12" display="M1.2,M1.3,M4.5,M4.6"/>
    <hyperlink ref="D38" location="'Task Details'!A30" display="M3.4,M3.7"/>
    <hyperlink ref="D39" location="'Task Details'!A7" display="M0.3,M2.5,M3.2,M3.3,M6.3"/>
    <hyperlink ref="D40" location="'Task Details'!A17" display="M2.1,M2.2,M2.3,M5.3,M6.3"/>
    <hyperlink ref="D41" location="'Task Details'!A30" display="M3.4,M3.8"/>
    <hyperlink ref="D42" location="'Task Details'!A20" display="M2.4,M2.8,M3.7,M6.4,M8.5"/>
    <hyperlink ref="D43" location="'Task Details'!A23" display="M2.7,M7.3,M8.3"/>
    <hyperlink ref="D44" location="'Task Details'!A41" display="M4.5,M5.1"/>
    <hyperlink ref="D45" location="'Task Details'!A24" display="M2.8,M3.4,M6.4"/>
    <hyperlink ref="D46" location="'Task Details'!A7" display="M0.3,M3.3,M4.5,M5.4,M6.1"/>
    <hyperlink ref="D47" location="'Task Details'!A7" display="M0.3,M2.5,M3.4,M4.5,M4.6,M5.3,M7.1"/>
    <hyperlink ref="D48" location="'Task Details'!A7" display="M0.3,M1.1,M3.1,M3.6,M4.5,M6.7"/>
    <hyperlink ref="D49" location="'Task Details'!A12" display="M1.2,M4.5,M4.6"/>
    <hyperlink ref="D50" location="'Task Details'!A13" display="M1.3,M2.5,M3.2,M8.5"/>
    <hyperlink ref="D51" location="'Task Details'!A31" display="M3.5,M6.5,M6.6,M7.1"/>
    <hyperlink ref="D52" location="'Task Details'!A5" display="M0.1,M4.1,M6.6,M7.4,M8.5"/>
    <hyperlink ref="D53" location="'Task Details'!A58" display="M6.7,M8.1,M8.5"/>
    <hyperlink ref="D54" location="'Task Details'!A7" display="M0.3,M4.5,M8.2,M8.4"/>
    <hyperlink ref="D55" location="'Task Details'!A71" display="M8.2,M8.5"/>
    <hyperlink ref="D56" location="'Task Details'!A23" display="M2.7,M6.7,M8.4,M8.5,M8.8"/>
    <hyperlink ref="D57" location="'Task Details'!A8" display="M0.4,M2.8,M3.7,M4.4,M5.4,M6.8,M7.5,M8.1,M8.6"/>
    <hyperlink ref="D58" location="'Task Details'!A37" display="M4.1,M4.2,M4.3,M4.4"/>
    <hyperlink ref="D59" location="'Task Details'!A18" display="M2.2,M2.3,M5.3,M6.8"/>
    <hyperlink ref="D60" location="'Task Details'!A52" display="M6.1,M6.2,M6.7,M6.8"/>
    <hyperlink ref="D61" location="'Task Details'!A24" display="M2.8,M3.7,M6.8,M8.6"/>
    <hyperlink ref="D62" location="'Task Details'!A23" display="M2.7,M7.3,M8.3,M8.4"/>
    <hyperlink ref="D63" location="'Task Details'!A8" display="M0.4,M3.6,M5.2,M8.7"/>
    <hyperlink ref="D64" location="'Task Details'!A75" display="M8.6,M8.8"/>
    <hyperlink ref="D65" location="'Task Details'!A38" display="M4.2,M4.7"/>
    <hyperlink ref="D66" location="'Task Details'!A38" display="M4.2,M4.5"/>
    <hyperlink ref="D67" location="'Task Details'!A38" display="M4.2"/>
    <hyperlink ref="D68" location="'Task Details'!A41" display="M4.5"/>
    <hyperlink ref="D69" location="'Task Details'!A40" display="M4.4"/>
    <hyperlink ref="D70" location="'Task Details'!A40" display="M4.4"/>
    <hyperlink ref="D71" location="'Task Details'!A40" display="M4.4,M8.4"/>
    <hyperlink ref="D72" location="'Task Details'!A13" display="M1.3,M8.5"/>
    <hyperlink ref="D73" location="'Task Details'!A41" display="M4.5,M5.1"/>
    <hyperlink ref="D74" location="'Task Details'!A38" display="M4.2,M4.6"/>
    <hyperlink ref="D75" location="'Task Details'!A17" display="M2.1"/>
    <hyperlink ref="D76" location="'Task Details'!A48" display="M5.3"/>
    <hyperlink ref="D77" location="'Task Details'!A18" display="M2.2,M5.3"/>
    <hyperlink ref="D78" location="'Task Details'!A48" display="M5.3"/>
    <hyperlink ref="D79" location="'Task Details'!A17" display="M2.1,M6.8"/>
    <hyperlink ref="D80" location="'Task Details'!A20" display="M2.4"/>
    <hyperlink ref="D81" location="'Task Details'!A73" display="M8.4"/>
    <hyperlink ref="D82" location="'Task Details'!A19" display="M2.3"/>
    <hyperlink ref="D83" location="'Task Details'!A17" display="M2.1,M6.7"/>
    <hyperlink ref="D84" location="'Task Details'!A70" display="M8.1"/>
    <hyperlink ref="D85" location="'Task Details'!A13" display="M1.3,M8.5"/>
    <hyperlink ref="D86" location="'Task Details'!A17" display="M2.1,M2.7"/>
    <hyperlink ref="D87" location="'Task Details'!A60" display="M6.9"/>
    <hyperlink ref="D88" location="'Task Details'!A60" display="M6.9"/>
    <hyperlink ref="D89" location="'Task Details'!A34" display="M3.8,M6.9"/>
    <hyperlink ref="D90" location="'Task Details'!A37" display="M4.1,M6.9"/>
    <hyperlink ref="D91" location="'Task Details'!A71" display="M8.2,M8.3,M8.4,M8.5"/>
    <hyperlink ref="D92" location="'Task Details'!A28" display="M3.2,M8.7"/>
    <hyperlink ref="D93" location="'Task Details'!A5" display="M0.1,M6.9"/>
    <hyperlink ref="D94" location="'Task Details'!A63" display="M7.1,M7.2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J31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45.7109375" customWidth="1"/>
    <col min="3" max="3" width="22.7109375" customWidth="1"/>
    <col min="4" max="4" width="90.7109375" customWidth="1"/>
    <col min="5" max="5" width="85.7109375" customWidth="1"/>
    <col min="6" max="6" width="65.7109375" customWidth="1"/>
    <col min="7" max="7" width="45.7109375" customWidth="1"/>
    <col min="8" max="8" width="32.7109375" customWidth="1"/>
    <col min="9" max="9" width="90.7109375" customWidth="1"/>
    <col min="10" max="10" width="22.7109375" customWidth="1"/>
  </cols>
  <sheetData>
    <row r="1" spans="1:10" ht="36" customHeight="1">
      <c r="A1" s="7" t="s">
        <v>1625</v>
      </c>
      <c r="B1" s="7"/>
      <c r="C1" s="7"/>
      <c r="D1" s="7"/>
      <c r="E1" s="7"/>
      <c r="F1" s="7"/>
      <c r="G1" s="7"/>
      <c r="H1" s="7"/>
      <c r="I1" s="7"/>
      <c r="J1" s="7"/>
    </row>
    <row r="2" spans="1:10" ht="36" customHeight="1">
      <c r="A2" s="8" t="s">
        <v>1626</v>
      </c>
      <c r="B2" s="8"/>
      <c r="C2" s="8"/>
      <c r="D2" s="8"/>
      <c r="E2" s="8"/>
      <c r="F2" s="8"/>
      <c r="G2" s="8"/>
      <c r="H2" s="8"/>
      <c r="I2" s="8"/>
      <c r="J2" s="8"/>
    </row>
    <row r="3" spans="1:10">
      <c r="A3" s="9" t="s">
        <v>79</v>
      </c>
    </row>
    <row r="4" spans="1:10" ht="33.75" customHeight="1">
      <c r="A4" s="26" t="s">
        <v>1627</v>
      </c>
      <c r="B4" s="26" t="s">
        <v>1628</v>
      </c>
      <c r="C4" s="26" t="s">
        <v>6</v>
      </c>
      <c r="D4" s="26" t="s">
        <v>1629</v>
      </c>
      <c r="E4" s="26" t="s">
        <v>1630</v>
      </c>
      <c r="F4" s="26" t="s">
        <v>1631</v>
      </c>
      <c r="G4" s="26" t="s">
        <v>1093</v>
      </c>
      <c r="H4" s="26" t="s">
        <v>1632</v>
      </c>
      <c r="I4" s="26" t="s">
        <v>1633</v>
      </c>
      <c r="J4" s="26" t="s">
        <v>1634</v>
      </c>
    </row>
    <row r="5" spans="1:10" ht="45.75" customHeight="1">
      <c r="A5" s="27" t="s">
        <v>15</v>
      </c>
      <c r="B5" s="27" t="s">
        <v>12</v>
      </c>
      <c r="C5" s="27" t="s">
        <v>11</v>
      </c>
      <c r="D5" s="27" t="s">
        <v>466</v>
      </c>
      <c r="E5" s="27" t="s">
        <v>1635</v>
      </c>
      <c r="F5" s="27" t="s">
        <v>464</v>
      </c>
      <c r="G5" s="27" t="s">
        <v>467</v>
      </c>
      <c r="H5" s="27" t="s">
        <v>1636</v>
      </c>
      <c r="I5" s="27" t="s">
        <v>1637</v>
      </c>
      <c r="J5" s="27" t="s">
        <v>1638</v>
      </c>
    </row>
    <row r="6" spans="1:10" ht="45.75" customHeight="1">
      <c r="A6" s="29" t="s">
        <v>20</v>
      </c>
      <c r="B6" s="29" t="s">
        <v>17</v>
      </c>
      <c r="C6" s="29" t="s">
        <v>16</v>
      </c>
      <c r="D6" s="29" t="s">
        <v>512</v>
      </c>
      <c r="E6" s="29" t="s">
        <v>1635</v>
      </c>
      <c r="F6" s="29" t="s">
        <v>511</v>
      </c>
      <c r="G6" s="29" t="s">
        <v>513</v>
      </c>
      <c r="H6" s="29" t="s">
        <v>1636</v>
      </c>
      <c r="I6" s="29" t="s">
        <v>1637</v>
      </c>
      <c r="J6" s="29" t="s">
        <v>1638</v>
      </c>
    </row>
    <row r="7" spans="1:10" ht="45.75" customHeight="1">
      <c r="A7" s="27" t="s">
        <v>25</v>
      </c>
      <c r="B7" s="27" t="s">
        <v>22</v>
      </c>
      <c r="C7" s="27" t="s">
        <v>21</v>
      </c>
      <c r="D7" s="27" t="s">
        <v>579</v>
      </c>
      <c r="E7" s="27" t="s">
        <v>1635</v>
      </c>
      <c r="F7" s="27" t="s">
        <v>578</v>
      </c>
      <c r="G7" s="27" t="s">
        <v>580</v>
      </c>
      <c r="H7" s="27" t="s">
        <v>1636</v>
      </c>
      <c r="I7" s="27" t="s">
        <v>1637</v>
      </c>
      <c r="J7" s="27" t="s">
        <v>1638</v>
      </c>
    </row>
    <row r="8" spans="1:10" ht="45.75" customHeight="1">
      <c r="A8" s="29" t="s">
        <v>30</v>
      </c>
      <c r="B8" s="29" t="s">
        <v>27</v>
      </c>
      <c r="C8" s="29" t="s">
        <v>26</v>
      </c>
      <c r="D8" s="29" t="s">
        <v>648</v>
      </c>
      <c r="E8" s="29" t="s">
        <v>1635</v>
      </c>
      <c r="F8" s="29" t="s">
        <v>647</v>
      </c>
      <c r="G8" s="29" t="s">
        <v>649</v>
      </c>
      <c r="H8" s="29" t="s">
        <v>1636</v>
      </c>
      <c r="I8" s="29" t="s">
        <v>1637</v>
      </c>
      <c r="J8" s="29" t="s">
        <v>1638</v>
      </c>
    </row>
    <row r="9" spans="1:10" ht="45.75" customHeight="1">
      <c r="A9" s="27" t="s">
        <v>35</v>
      </c>
      <c r="B9" s="27" t="s">
        <v>32</v>
      </c>
      <c r="C9" s="27" t="s">
        <v>31</v>
      </c>
      <c r="D9" s="27" t="s">
        <v>704</v>
      </c>
      <c r="E9" s="27" t="s">
        <v>1635</v>
      </c>
      <c r="F9" s="27" t="s">
        <v>703</v>
      </c>
      <c r="G9" s="27" t="s">
        <v>705</v>
      </c>
      <c r="H9" s="27" t="s">
        <v>1636</v>
      </c>
      <c r="I9" s="27" t="s">
        <v>1637</v>
      </c>
      <c r="J9" s="27" t="s">
        <v>1638</v>
      </c>
    </row>
    <row r="10" spans="1:10" ht="45.75" customHeight="1">
      <c r="A10" s="29" t="s">
        <v>40</v>
      </c>
      <c r="B10" s="29" t="s">
        <v>37</v>
      </c>
      <c r="C10" s="29" t="s">
        <v>36</v>
      </c>
      <c r="D10" s="29" t="s">
        <v>738</v>
      </c>
      <c r="E10" s="29" t="s">
        <v>1635</v>
      </c>
      <c r="F10" s="29" t="s">
        <v>737</v>
      </c>
      <c r="G10" s="29" t="s">
        <v>739</v>
      </c>
      <c r="H10" s="29" t="s">
        <v>1636</v>
      </c>
      <c r="I10" s="29" t="s">
        <v>1637</v>
      </c>
      <c r="J10" s="29" t="s">
        <v>1638</v>
      </c>
    </row>
    <row r="11" spans="1:10" ht="45.75" customHeight="1">
      <c r="A11" s="27" t="s">
        <v>45</v>
      </c>
      <c r="B11" s="27" t="s">
        <v>42</v>
      </c>
      <c r="C11" s="27" t="s">
        <v>41</v>
      </c>
      <c r="D11" s="27" t="s">
        <v>813</v>
      </c>
      <c r="E11" s="27" t="s">
        <v>1635</v>
      </c>
      <c r="F11" s="27" t="s">
        <v>812</v>
      </c>
      <c r="G11" s="27" t="s">
        <v>814</v>
      </c>
      <c r="H11" s="27" t="s">
        <v>1636</v>
      </c>
      <c r="I11" s="27" t="s">
        <v>1637</v>
      </c>
      <c r="J11" s="27" t="s">
        <v>1638</v>
      </c>
    </row>
    <row r="12" spans="1:10" ht="45.75" customHeight="1">
      <c r="A12" s="29" t="s">
        <v>50</v>
      </c>
      <c r="B12" s="29" t="s">
        <v>47</v>
      </c>
      <c r="C12" s="29" t="s">
        <v>46</v>
      </c>
      <c r="D12" s="29" t="s">
        <v>858</v>
      </c>
      <c r="E12" s="29" t="s">
        <v>1635</v>
      </c>
      <c r="F12" s="29" t="s">
        <v>857</v>
      </c>
      <c r="G12" s="29" t="s">
        <v>859</v>
      </c>
      <c r="H12" s="29" t="s">
        <v>1636</v>
      </c>
      <c r="I12" s="29" t="s">
        <v>1637</v>
      </c>
      <c r="J12" s="29" t="s">
        <v>1638</v>
      </c>
    </row>
    <row r="13" spans="1:10" ht="45.75" customHeight="1">
      <c r="A13" s="27" t="s">
        <v>55</v>
      </c>
      <c r="B13" s="27" t="s">
        <v>52</v>
      </c>
      <c r="C13" s="27" t="s">
        <v>51</v>
      </c>
      <c r="D13" s="27" t="s">
        <v>918</v>
      </c>
      <c r="E13" s="27" t="s">
        <v>1635</v>
      </c>
      <c r="F13" s="27" t="s">
        <v>917</v>
      </c>
      <c r="G13" s="27" t="s">
        <v>919</v>
      </c>
      <c r="H13" s="27" t="s">
        <v>1636</v>
      </c>
      <c r="I13" s="27" t="s">
        <v>1637</v>
      </c>
      <c r="J13" s="27" t="s">
        <v>1638</v>
      </c>
    </row>
    <row r="14" spans="1:10" ht="35.25" customHeight="1">
      <c r="A14" s="29" t="s">
        <v>1639</v>
      </c>
      <c r="B14" s="29" t="s">
        <v>1640</v>
      </c>
      <c r="C14" s="29" t="s">
        <v>1641</v>
      </c>
      <c r="D14" s="29" t="s">
        <v>1642</v>
      </c>
      <c r="E14" s="29" t="s">
        <v>1643</v>
      </c>
      <c r="F14" s="29" t="s">
        <v>1644</v>
      </c>
      <c r="G14" s="29" t="s">
        <v>1645</v>
      </c>
      <c r="H14" s="29" t="s">
        <v>1646</v>
      </c>
      <c r="I14" s="29" t="s">
        <v>1647</v>
      </c>
      <c r="J14" s="29" t="s">
        <v>1638</v>
      </c>
    </row>
    <row r="15" spans="1:10" ht="45.75" customHeight="1">
      <c r="A15" s="27" t="s">
        <v>1648</v>
      </c>
      <c r="B15" s="27" t="s">
        <v>1649</v>
      </c>
      <c r="C15" s="27" t="s">
        <v>1650</v>
      </c>
      <c r="D15" s="27" t="s">
        <v>1651</v>
      </c>
      <c r="E15" s="27" t="s">
        <v>1652</v>
      </c>
      <c r="F15" s="27" t="s">
        <v>1653</v>
      </c>
      <c r="G15" s="27" t="s">
        <v>1654</v>
      </c>
      <c r="H15" s="27" t="s">
        <v>1655</v>
      </c>
      <c r="I15" s="27" t="s">
        <v>1647</v>
      </c>
      <c r="J15" s="27" t="s">
        <v>1638</v>
      </c>
    </row>
    <row r="16" spans="1:10" ht="45.75" customHeight="1">
      <c r="A16" s="29" t="s">
        <v>1656</v>
      </c>
      <c r="B16" s="29" t="s">
        <v>1657</v>
      </c>
      <c r="C16" s="29" t="s">
        <v>1658</v>
      </c>
      <c r="D16" s="29" t="s">
        <v>1659</v>
      </c>
      <c r="E16" s="29" t="s">
        <v>1660</v>
      </c>
      <c r="F16" s="29" t="s">
        <v>1661</v>
      </c>
      <c r="G16" s="29" t="s">
        <v>1662</v>
      </c>
      <c r="H16" s="29" t="s">
        <v>1655</v>
      </c>
      <c r="I16" s="29" t="s">
        <v>1647</v>
      </c>
      <c r="J16" s="29" t="s">
        <v>1638</v>
      </c>
    </row>
    <row r="17" spans="1:10" ht="45.75" customHeight="1">
      <c r="A17" s="27" t="s">
        <v>1663</v>
      </c>
      <c r="B17" s="27" t="s">
        <v>1664</v>
      </c>
      <c r="C17" s="27" t="s">
        <v>1665</v>
      </c>
      <c r="D17" s="27" t="s">
        <v>1666</v>
      </c>
      <c r="E17" s="27" t="s">
        <v>1667</v>
      </c>
      <c r="F17" s="27" t="s">
        <v>1668</v>
      </c>
      <c r="G17" s="27" t="s">
        <v>1669</v>
      </c>
      <c r="H17" s="27" t="s">
        <v>1655</v>
      </c>
      <c r="I17" s="27" t="s">
        <v>1670</v>
      </c>
      <c r="J17" s="27" t="s">
        <v>1638</v>
      </c>
    </row>
    <row r="18" spans="1:10" ht="45.75" customHeight="1">
      <c r="A18" s="29" t="s">
        <v>1671</v>
      </c>
      <c r="B18" s="29" t="s">
        <v>1672</v>
      </c>
      <c r="C18" s="29" t="s">
        <v>1641</v>
      </c>
      <c r="D18" s="29" t="s">
        <v>1673</v>
      </c>
      <c r="E18" s="29" t="s">
        <v>1674</v>
      </c>
      <c r="F18" s="29" t="s">
        <v>1675</v>
      </c>
      <c r="G18" s="29" t="s">
        <v>1676</v>
      </c>
      <c r="H18" s="29" t="s">
        <v>1655</v>
      </c>
      <c r="I18" s="29" t="s">
        <v>1647</v>
      </c>
      <c r="J18" s="29" t="s">
        <v>1638</v>
      </c>
    </row>
    <row r="19" spans="1:10" ht="45.75" customHeight="1">
      <c r="A19" s="27" t="s">
        <v>1677</v>
      </c>
      <c r="B19" s="27" t="s">
        <v>1678</v>
      </c>
      <c r="C19" s="27" t="s">
        <v>1679</v>
      </c>
      <c r="D19" s="27" t="s">
        <v>1680</v>
      </c>
      <c r="E19" s="27" t="s">
        <v>1681</v>
      </c>
      <c r="F19" s="27" t="s">
        <v>1682</v>
      </c>
      <c r="G19" s="27" t="s">
        <v>1683</v>
      </c>
      <c r="H19" s="27" t="s">
        <v>1655</v>
      </c>
      <c r="I19" s="27" t="s">
        <v>1684</v>
      </c>
      <c r="J19" s="27" t="s">
        <v>1638</v>
      </c>
    </row>
    <row r="20" spans="1:10" ht="45.75" customHeight="1">
      <c r="A20" s="29" t="s">
        <v>1685</v>
      </c>
      <c r="B20" s="29" t="s">
        <v>1686</v>
      </c>
      <c r="C20" s="29" t="s">
        <v>1687</v>
      </c>
      <c r="D20" s="29" t="s">
        <v>1688</v>
      </c>
      <c r="E20" s="29" t="s">
        <v>1689</v>
      </c>
      <c r="F20" s="29" t="s">
        <v>1690</v>
      </c>
      <c r="G20" s="29" t="s">
        <v>1691</v>
      </c>
      <c r="H20" s="29" t="s">
        <v>1655</v>
      </c>
      <c r="I20" s="29" t="s">
        <v>1647</v>
      </c>
      <c r="J20" s="29" t="s">
        <v>1638</v>
      </c>
    </row>
    <row r="21" spans="1:10" ht="45.75" customHeight="1">
      <c r="A21" s="27" t="s">
        <v>1692</v>
      </c>
      <c r="B21" s="27" t="s">
        <v>1693</v>
      </c>
      <c r="C21" s="27" t="s">
        <v>1694</v>
      </c>
      <c r="D21" s="27" t="s">
        <v>1695</v>
      </c>
      <c r="E21" s="27" t="s">
        <v>1696</v>
      </c>
      <c r="F21" s="27" t="s">
        <v>1697</v>
      </c>
      <c r="G21" s="27" t="s">
        <v>1698</v>
      </c>
      <c r="H21" s="27" t="s">
        <v>1655</v>
      </c>
      <c r="I21" s="27" t="s">
        <v>1647</v>
      </c>
      <c r="J21" s="27" t="s">
        <v>1638</v>
      </c>
    </row>
    <row r="22" spans="1:10" ht="45.75" customHeight="1">
      <c r="A22" s="29" t="s">
        <v>1699</v>
      </c>
      <c r="B22" s="29" t="s">
        <v>1700</v>
      </c>
      <c r="C22" s="29" t="s">
        <v>1694</v>
      </c>
      <c r="D22" s="29" t="s">
        <v>1701</v>
      </c>
      <c r="E22" s="29" t="s">
        <v>1702</v>
      </c>
      <c r="F22" s="29" t="s">
        <v>1703</v>
      </c>
      <c r="G22" s="29" t="s">
        <v>1704</v>
      </c>
      <c r="H22" s="29" t="s">
        <v>1705</v>
      </c>
      <c r="I22" s="29" t="s">
        <v>1706</v>
      </c>
      <c r="J22" s="29" t="s">
        <v>1638</v>
      </c>
    </row>
    <row r="23" spans="1:10" ht="45.75" customHeight="1">
      <c r="A23" s="27" t="s">
        <v>1707</v>
      </c>
      <c r="B23" s="27" t="s">
        <v>1708</v>
      </c>
      <c r="C23" s="27" t="s">
        <v>1709</v>
      </c>
      <c r="D23" s="27" t="s">
        <v>1710</v>
      </c>
      <c r="E23" s="27" t="s">
        <v>1711</v>
      </c>
      <c r="F23" s="27" t="s">
        <v>1712</v>
      </c>
      <c r="G23" s="27" t="s">
        <v>1713</v>
      </c>
      <c r="H23" s="27" t="s">
        <v>1655</v>
      </c>
      <c r="I23" s="27" t="s">
        <v>1647</v>
      </c>
      <c r="J23" s="27" t="s">
        <v>1638</v>
      </c>
    </row>
    <row r="24" spans="1:10" ht="45.75" customHeight="1">
      <c r="A24" s="29" t="s">
        <v>1714</v>
      </c>
      <c r="B24" s="29" t="s">
        <v>1715</v>
      </c>
      <c r="C24" s="29" t="s">
        <v>1716</v>
      </c>
      <c r="D24" s="29" t="s">
        <v>1717</v>
      </c>
      <c r="E24" s="29" t="s">
        <v>1718</v>
      </c>
      <c r="F24" s="29" t="s">
        <v>1719</v>
      </c>
      <c r="G24" s="29" t="s">
        <v>1720</v>
      </c>
      <c r="H24" s="29" t="s">
        <v>1655</v>
      </c>
      <c r="I24" s="29" t="s">
        <v>1647</v>
      </c>
      <c r="J24" s="29" t="s">
        <v>1638</v>
      </c>
    </row>
    <row r="25" spans="1:10" ht="45.75" customHeight="1">
      <c r="A25" s="27" t="s">
        <v>1721</v>
      </c>
      <c r="B25" s="27" t="s">
        <v>1722</v>
      </c>
      <c r="C25" s="27" t="s">
        <v>1723</v>
      </c>
      <c r="D25" s="27" t="s">
        <v>1724</v>
      </c>
      <c r="E25" s="27" t="s">
        <v>1725</v>
      </c>
      <c r="F25" s="27" t="s">
        <v>1726</v>
      </c>
      <c r="G25" s="27" t="s">
        <v>1727</v>
      </c>
      <c r="H25" s="27" t="s">
        <v>1655</v>
      </c>
      <c r="I25" s="27" t="s">
        <v>1647</v>
      </c>
      <c r="J25" s="27" t="s">
        <v>1638</v>
      </c>
    </row>
    <row r="26" spans="1:10" ht="45.75" customHeight="1">
      <c r="A26" s="29" t="s">
        <v>1728</v>
      </c>
      <c r="B26" s="29" t="s">
        <v>1729</v>
      </c>
      <c r="C26" s="29" t="s">
        <v>1730</v>
      </c>
      <c r="D26" s="29" t="s">
        <v>1731</v>
      </c>
      <c r="E26" s="29" t="s">
        <v>1732</v>
      </c>
      <c r="F26" s="29" t="s">
        <v>1733</v>
      </c>
      <c r="G26" s="29" t="s">
        <v>1734</v>
      </c>
      <c r="H26" s="29" t="s">
        <v>1655</v>
      </c>
      <c r="I26" s="29" t="s">
        <v>1735</v>
      </c>
      <c r="J26" s="29" t="s">
        <v>1638</v>
      </c>
    </row>
    <row r="27" spans="1:10" ht="45.75" customHeight="1">
      <c r="A27" s="27" t="s">
        <v>1736</v>
      </c>
      <c r="B27" s="27" t="s">
        <v>1737</v>
      </c>
      <c r="C27" s="27" t="s">
        <v>1738</v>
      </c>
      <c r="D27" s="27" t="s">
        <v>1739</v>
      </c>
      <c r="E27" s="27" t="s">
        <v>1740</v>
      </c>
      <c r="F27" s="27" t="s">
        <v>1741</v>
      </c>
      <c r="G27" s="27" t="s">
        <v>1742</v>
      </c>
      <c r="H27" s="27" t="s">
        <v>1655</v>
      </c>
      <c r="I27" s="27" t="s">
        <v>1743</v>
      </c>
      <c r="J27" s="27" t="s">
        <v>1638</v>
      </c>
    </row>
    <row r="28" spans="1:10" ht="45.75" customHeight="1">
      <c r="A28" s="29" t="s">
        <v>1744</v>
      </c>
      <c r="B28" s="29" t="s">
        <v>1745</v>
      </c>
      <c r="C28" s="29" t="s">
        <v>1746</v>
      </c>
      <c r="D28" s="29" t="s">
        <v>1747</v>
      </c>
      <c r="E28" s="29" t="s">
        <v>1748</v>
      </c>
      <c r="F28" s="29" t="s">
        <v>1749</v>
      </c>
      <c r="G28" s="29" t="s">
        <v>1750</v>
      </c>
      <c r="H28" s="29" t="s">
        <v>1751</v>
      </c>
      <c r="I28" s="29" t="s">
        <v>1752</v>
      </c>
      <c r="J28" s="29" t="s">
        <v>1638</v>
      </c>
    </row>
    <row r="29" spans="1:10" ht="45.75" customHeight="1">
      <c r="A29" s="27" t="s">
        <v>1753</v>
      </c>
      <c r="B29" s="27" t="s">
        <v>1754</v>
      </c>
      <c r="C29" s="27" t="s">
        <v>51</v>
      </c>
      <c r="D29" s="27" t="s">
        <v>1755</v>
      </c>
      <c r="E29" s="27" t="s">
        <v>1756</v>
      </c>
      <c r="F29" s="27" t="s">
        <v>1757</v>
      </c>
      <c r="G29" s="27" t="s">
        <v>1758</v>
      </c>
      <c r="H29" s="27" t="s">
        <v>1759</v>
      </c>
      <c r="I29" s="27" t="s">
        <v>1760</v>
      </c>
      <c r="J29" s="27" t="s">
        <v>1638</v>
      </c>
    </row>
    <row r="30" spans="1:10" ht="45.75" customHeight="1">
      <c r="A30" s="29" t="s">
        <v>1761</v>
      </c>
      <c r="B30" s="29" t="s">
        <v>1762</v>
      </c>
      <c r="C30" s="29" t="s">
        <v>51</v>
      </c>
      <c r="D30" s="29" t="s">
        <v>1763</v>
      </c>
      <c r="E30" s="29" t="s">
        <v>1764</v>
      </c>
      <c r="F30" s="29" t="s">
        <v>1765</v>
      </c>
      <c r="G30" s="29" t="s">
        <v>1766</v>
      </c>
      <c r="H30" s="29" t="s">
        <v>1655</v>
      </c>
      <c r="I30" s="29" t="s">
        <v>1647</v>
      </c>
      <c r="J30" s="29" t="s">
        <v>1638</v>
      </c>
    </row>
    <row r="31" spans="1:10" ht="45.75" customHeight="1">
      <c r="A31" s="27" t="s">
        <v>1767</v>
      </c>
      <c r="B31" s="27" t="s">
        <v>1768</v>
      </c>
      <c r="C31" s="27" t="s">
        <v>51</v>
      </c>
      <c r="D31" s="27" t="s">
        <v>1769</v>
      </c>
      <c r="E31" s="27" t="s">
        <v>1770</v>
      </c>
      <c r="F31" s="27" t="s">
        <v>1771</v>
      </c>
      <c r="G31" s="27" t="s">
        <v>467</v>
      </c>
      <c r="H31" s="27" t="s">
        <v>1636</v>
      </c>
      <c r="I31" s="27" t="s">
        <v>1772</v>
      </c>
      <c r="J31" s="27" t="s">
        <v>1638</v>
      </c>
    </row>
  </sheetData>
  <autoFilter ref="A4:J31"/>
  <mergeCells count="2">
    <mergeCell ref="A1:J1"/>
    <mergeCell ref="A2:J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I1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7.7109375" customWidth="1"/>
    <col min="2" max="2" width="42.7109375" customWidth="1"/>
    <col min="3" max="3" width="22.7109375" customWidth="1"/>
    <col min="4" max="4" width="60.7109375" customWidth="1"/>
    <col min="5" max="6" width="70.7109375" customWidth="1"/>
    <col min="7" max="7" width="95.7109375" customWidth="1"/>
    <col min="8" max="8" width="50.7109375" customWidth="1"/>
    <col min="9" max="9" width="45.7109375" customWidth="1"/>
  </cols>
  <sheetData>
    <row r="1" spans="1:9" ht="36" customHeight="1">
      <c r="A1" s="7" t="s">
        <v>1773</v>
      </c>
      <c r="B1" s="7"/>
      <c r="C1" s="7"/>
      <c r="D1" s="7"/>
      <c r="E1" s="7"/>
      <c r="F1" s="7"/>
      <c r="G1" s="7"/>
      <c r="H1" s="7"/>
      <c r="I1" s="7"/>
    </row>
    <row r="2" spans="1:9" ht="36" customHeight="1">
      <c r="A2" s="8" t="s">
        <v>1774</v>
      </c>
      <c r="B2" s="8"/>
      <c r="C2" s="8"/>
      <c r="D2" s="8"/>
      <c r="E2" s="8"/>
      <c r="F2" s="8"/>
      <c r="G2" s="8"/>
      <c r="H2" s="8"/>
      <c r="I2" s="8"/>
    </row>
    <row r="3" spans="1:9">
      <c r="A3" s="9" t="s">
        <v>79</v>
      </c>
    </row>
    <row r="4" spans="1:9" ht="33.75" customHeight="1">
      <c r="A4" s="26" t="s">
        <v>1775</v>
      </c>
      <c r="B4" s="26" t="s">
        <v>1776</v>
      </c>
      <c r="C4" s="26" t="s">
        <v>6</v>
      </c>
      <c r="D4" s="26" t="s">
        <v>1093</v>
      </c>
      <c r="E4" s="26" t="s">
        <v>1777</v>
      </c>
      <c r="F4" s="26" t="s">
        <v>1778</v>
      </c>
      <c r="G4" s="26" t="s">
        <v>1779</v>
      </c>
      <c r="H4" s="26" t="s">
        <v>1780</v>
      </c>
      <c r="I4" s="26" t="s">
        <v>417</v>
      </c>
    </row>
    <row r="5" spans="1:9" ht="45.75" customHeight="1">
      <c r="A5" s="27" t="s">
        <v>1781</v>
      </c>
      <c r="B5" s="27" t="s">
        <v>1782</v>
      </c>
      <c r="C5" s="27" t="s">
        <v>16</v>
      </c>
      <c r="D5" s="27" t="s">
        <v>1783</v>
      </c>
      <c r="E5" s="27" t="s">
        <v>1784</v>
      </c>
      <c r="F5" s="27" t="s">
        <v>1785</v>
      </c>
      <c r="G5" s="27" t="s">
        <v>1786</v>
      </c>
      <c r="H5" s="27" t="s">
        <v>1787</v>
      </c>
      <c r="I5" s="27" t="s">
        <v>1788</v>
      </c>
    </row>
    <row r="6" spans="1:9" ht="45.75" customHeight="1">
      <c r="A6" s="29" t="s">
        <v>1789</v>
      </c>
      <c r="B6" s="29" t="s">
        <v>1790</v>
      </c>
      <c r="C6" s="29" t="s">
        <v>1128</v>
      </c>
      <c r="D6" s="29" t="s">
        <v>1791</v>
      </c>
      <c r="E6" s="29" t="s">
        <v>1792</v>
      </c>
      <c r="F6" s="29" t="s">
        <v>1793</v>
      </c>
      <c r="G6" s="29" t="s">
        <v>1794</v>
      </c>
      <c r="H6" s="29" t="s">
        <v>1795</v>
      </c>
      <c r="I6" s="29" t="s">
        <v>1796</v>
      </c>
    </row>
    <row r="7" spans="1:9" ht="45.75" customHeight="1">
      <c r="A7" s="27" t="s">
        <v>1797</v>
      </c>
      <c r="B7" s="27" t="s">
        <v>1798</v>
      </c>
      <c r="C7" s="27" t="s">
        <v>1799</v>
      </c>
      <c r="D7" s="27" t="s">
        <v>1800</v>
      </c>
      <c r="E7" s="27" t="s">
        <v>1801</v>
      </c>
      <c r="F7" s="27" t="s">
        <v>1802</v>
      </c>
      <c r="G7" s="27" t="s">
        <v>1803</v>
      </c>
      <c r="H7" s="27" t="s">
        <v>1804</v>
      </c>
      <c r="I7" s="27" t="s">
        <v>1805</v>
      </c>
    </row>
    <row r="8" spans="1:9" ht="35.25" customHeight="1">
      <c r="A8" s="29" t="s">
        <v>1806</v>
      </c>
      <c r="B8" s="29" t="s">
        <v>1807</v>
      </c>
      <c r="C8" s="29" t="s">
        <v>26</v>
      </c>
      <c r="D8" s="29" t="s">
        <v>1808</v>
      </c>
      <c r="E8" s="29" t="s">
        <v>1809</v>
      </c>
      <c r="F8" s="29" t="s">
        <v>1810</v>
      </c>
      <c r="G8" s="29" t="s">
        <v>1811</v>
      </c>
      <c r="H8" s="29" t="s">
        <v>1812</v>
      </c>
      <c r="I8" s="29" t="s">
        <v>1813</v>
      </c>
    </row>
    <row r="9" spans="1:9" ht="45.75" customHeight="1">
      <c r="A9" s="27" t="s">
        <v>1814</v>
      </c>
      <c r="B9" s="27" t="s">
        <v>1815</v>
      </c>
      <c r="C9" s="27" t="s">
        <v>1816</v>
      </c>
      <c r="D9" s="27" t="s">
        <v>1817</v>
      </c>
      <c r="E9" s="27" t="s">
        <v>1818</v>
      </c>
      <c r="F9" s="27" t="s">
        <v>1819</v>
      </c>
      <c r="G9" s="27" t="s">
        <v>1820</v>
      </c>
      <c r="H9" s="27" t="s">
        <v>1821</v>
      </c>
      <c r="I9" s="27" t="s">
        <v>1822</v>
      </c>
    </row>
    <row r="10" spans="1:9" ht="45.75" customHeight="1">
      <c r="A10" s="29" t="s">
        <v>1823</v>
      </c>
      <c r="B10" s="29" t="s">
        <v>1824</v>
      </c>
      <c r="C10" s="29" t="s">
        <v>31</v>
      </c>
      <c r="D10" s="29" t="s">
        <v>1825</v>
      </c>
      <c r="E10" s="29" t="s">
        <v>1826</v>
      </c>
      <c r="F10" s="29" t="s">
        <v>1827</v>
      </c>
      <c r="G10" s="29" t="s">
        <v>1828</v>
      </c>
      <c r="H10" s="29" t="s">
        <v>1829</v>
      </c>
      <c r="I10" s="29" t="s">
        <v>1830</v>
      </c>
    </row>
    <row r="11" spans="1:9" ht="45.75" customHeight="1">
      <c r="A11" s="27" t="s">
        <v>1831</v>
      </c>
      <c r="B11" s="27" t="s">
        <v>1832</v>
      </c>
      <c r="C11" s="27" t="s">
        <v>31</v>
      </c>
      <c r="D11" s="27" t="s">
        <v>1833</v>
      </c>
      <c r="E11" s="27" t="s">
        <v>1834</v>
      </c>
      <c r="F11" s="27" t="s">
        <v>1835</v>
      </c>
      <c r="G11" s="27" t="s">
        <v>1836</v>
      </c>
      <c r="H11" s="27" t="s">
        <v>313</v>
      </c>
      <c r="I11" s="27" t="s">
        <v>1837</v>
      </c>
    </row>
    <row r="12" spans="1:9" ht="45.75" customHeight="1">
      <c r="A12" s="29" t="s">
        <v>1838</v>
      </c>
      <c r="B12" s="29" t="s">
        <v>1839</v>
      </c>
      <c r="C12" s="29" t="s">
        <v>1210</v>
      </c>
      <c r="D12" s="29" t="s">
        <v>1840</v>
      </c>
      <c r="E12" s="29" t="s">
        <v>1841</v>
      </c>
      <c r="F12" s="29" t="s">
        <v>1842</v>
      </c>
      <c r="G12" s="29" t="s">
        <v>1843</v>
      </c>
      <c r="H12" s="29" t="s">
        <v>1844</v>
      </c>
      <c r="I12" s="29" t="s">
        <v>1845</v>
      </c>
    </row>
    <row r="13" spans="1:9" ht="45.75" customHeight="1">
      <c r="A13" s="27" t="s">
        <v>1846</v>
      </c>
      <c r="B13" s="27" t="s">
        <v>1847</v>
      </c>
      <c r="C13" s="27" t="s">
        <v>1169</v>
      </c>
      <c r="D13" s="27" t="s">
        <v>1848</v>
      </c>
      <c r="E13" s="27" t="s">
        <v>1849</v>
      </c>
      <c r="F13" s="27" t="s">
        <v>1850</v>
      </c>
      <c r="G13" s="27" t="s">
        <v>1851</v>
      </c>
      <c r="H13" s="27" t="s">
        <v>1852</v>
      </c>
      <c r="I13" s="27" t="s">
        <v>1853</v>
      </c>
    </row>
    <row r="14" spans="1:9" ht="45.75" customHeight="1">
      <c r="A14" s="29" t="s">
        <v>1854</v>
      </c>
      <c r="B14" s="29" t="s">
        <v>1855</v>
      </c>
      <c r="C14" s="29" t="s">
        <v>41</v>
      </c>
      <c r="D14" s="29" t="s">
        <v>1856</v>
      </c>
      <c r="E14" s="29" t="s">
        <v>1857</v>
      </c>
      <c r="F14" s="29" t="s">
        <v>1858</v>
      </c>
      <c r="G14" s="29" t="s">
        <v>1859</v>
      </c>
      <c r="H14" s="29" t="s">
        <v>1860</v>
      </c>
      <c r="I14" s="29" t="s">
        <v>1861</v>
      </c>
    </row>
    <row r="15" spans="1:9" ht="45.75" customHeight="1">
      <c r="A15" s="27" t="s">
        <v>1862</v>
      </c>
      <c r="B15" s="27" t="s">
        <v>1863</v>
      </c>
      <c r="C15" s="27" t="s">
        <v>1221</v>
      </c>
      <c r="D15" s="27" t="s">
        <v>1864</v>
      </c>
      <c r="E15" s="27" t="s">
        <v>1865</v>
      </c>
      <c r="F15" s="27" t="s">
        <v>1866</v>
      </c>
      <c r="G15" s="27" t="s">
        <v>1867</v>
      </c>
      <c r="H15" s="27" t="s">
        <v>1868</v>
      </c>
      <c r="I15" s="27" t="s">
        <v>1869</v>
      </c>
    </row>
    <row r="16" spans="1:9" ht="45.75" customHeight="1">
      <c r="A16" s="29" t="s">
        <v>1870</v>
      </c>
      <c r="B16" s="29" t="s">
        <v>1871</v>
      </c>
      <c r="C16" s="29" t="s">
        <v>1872</v>
      </c>
      <c r="D16" s="29" t="s">
        <v>1873</v>
      </c>
      <c r="E16" s="29" t="s">
        <v>1874</v>
      </c>
      <c r="F16" s="29" t="s">
        <v>1875</v>
      </c>
      <c r="G16" s="29" t="s">
        <v>1876</v>
      </c>
      <c r="H16" s="29" t="s">
        <v>1877</v>
      </c>
      <c r="I16" s="29" t="s">
        <v>1878</v>
      </c>
    </row>
  </sheetData>
  <autoFilter ref="A4:I16"/>
  <mergeCells count="2">
    <mergeCell ref="A1:I1"/>
    <mergeCell ref="A2:I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G20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7.7109375" customWidth="1"/>
    <col min="2" max="2" width="32.7109375" customWidth="1"/>
    <col min="3" max="3" width="75.7109375" customWidth="1"/>
    <col min="4" max="4" width="25.7109375" customWidth="1"/>
    <col min="5" max="5" width="45.7109375" customWidth="1"/>
    <col min="6" max="6" width="100.7109375" customWidth="1"/>
    <col min="7" max="7" width="45.7109375" customWidth="1"/>
  </cols>
  <sheetData>
    <row r="1" spans="1:7" ht="36" customHeight="1">
      <c r="A1" s="7" t="s">
        <v>1879</v>
      </c>
      <c r="B1" s="7"/>
      <c r="C1" s="7"/>
      <c r="D1" s="7"/>
      <c r="E1" s="7"/>
      <c r="F1" s="7"/>
      <c r="G1" s="7"/>
    </row>
    <row r="2" spans="1:7" ht="36" customHeight="1">
      <c r="A2" s="8" t="s">
        <v>1880</v>
      </c>
      <c r="B2" s="8"/>
      <c r="C2" s="8"/>
      <c r="D2" s="8"/>
      <c r="E2" s="8"/>
      <c r="F2" s="8"/>
      <c r="G2" s="8"/>
    </row>
    <row r="3" spans="1:7">
      <c r="A3" s="9" t="s">
        <v>79</v>
      </c>
    </row>
    <row r="4" spans="1:7" ht="33.75" customHeight="1">
      <c r="A4" s="26" t="s">
        <v>1881</v>
      </c>
      <c r="B4" s="26" t="s">
        <v>1882</v>
      </c>
      <c r="C4" s="26" t="s">
        <v>148</v>
      </c>
      <c r="D4" s="26" t="s">
        <v>6</v>
      </c>
      <c r="E4" s="26" t="s">
        <v>1883</v>
      </c>
      <c r="F4" s="26" t="s">
        <v>1884</v>
      </c>
      <c r="G4" s="26" t="s">
        <v>1093</v>
      </c>
    </row>
    <row r="5" spans="1:7" ht="45.75" customHeight="1">
      <c r="A5" s="27" t="s">
        <v>1885</v>
      </c>
      <c r="B5" s="27" t="s">
        <v>1886</v>
      </c>
      <c r="C5" s="27" t="s">
        <v>1887</v>
      </c>
      <c r="D5" s="27" t="s">
        <v>1872</v>
      </c>
      <c r="E5" s="27" t="s">
        <v>1888</v>
      </c>
      <c r="F5" s="27" t="s">
        <v>1889</v>
      </c>
      <c r="G5" s="27" t="s">
        <v>1890</v>
      </c>
    </row>
    <row r="6" spans="1:7" ht="45.75" customHeight="1">
      <c r="A6" s="29" t="s">
        <v>1891</v>
      </c>
      <c r="B6" s="29" t="s">
        <v>555</v>
      </c>
      <c r="C6" s="29" t="s">
        <v>1892</v>
      </c>
      <c r="D6" s="29" t="s">
        <v>1893</v>
      </c>
      <c r="E6" s="29" t="s">
        <v>1894</v>
      </c>
      <c r="F6" s="29" t="s">
        <v>1895</v>
      </c>
      <c r="G6" s="29" t="s">
        <v>1896</v>
      </c>
    </row>
    <row r="7" spans="1:7" ht="45.75" customHeight="1">
      <c r="A7" s="27" t="s">
        <v>1897</v>
      </c>
      <c r="B7" s="27" t="s">
        <v>1898</v>
      </c>
      <c r="C7" s="27" t="s">
        <v>1899</v>
      </c>
      <c r="D7" s="27" t="s">
        <v>1872</v>
      </c>
      <c r="E7" s="27" t="s">
        <v>1900</v>
      </c>
      <c r="F7" s="27" t="s">
        <v>1901</v>
      </c>
      <c r="G7" s="27" t="s">
        <v>1902</v>
      </c>
    </row>
    <row r="8" spans="1:7" ht="45.75" customHeight="1">
      <c r="A8" s="29" t="s">
        <v>1903</v>
      </c>
      <c r="B8" s="29" t="s">
        <v>1904</v>
      </c>
      <c r="C8" s="29" t="s">
        <v>1905</v>
      </c>
      <c r="D8" s="29" t="s">
        <v>1906</v>
      </c>
      <c r="E8" s="29" t="s">
        <v>1907</v>
      </c>
      <c r="F8" s="29" t="s">
        <v>1908</v>
      </c>
      <c r="G8" s="29" t="s">
        <v>1909</v>
      </c>
    </row>
    <row r="9" spans="1:7" ht="45.75" customHeight="1">
      <c r="A9" s="27" t="s">
        <v>1910</v>
      </c>
      <c r="B9" s="27" t="s">
        <v>1911</v>
      </c>
      <c r="C9" s="27" t="s">
        <v>1912</v>
      </c>
      <c r="D9" s="27" t="s">
        <v>1116</v>
      </c>
      <c r="E9" s="27" t="s">
        <v>1913</v>
      </c>
      <c r="F9" s="27" t="s">
        <v>1914</v>
      </c>
      <c r="G9" s="27" t="s">
        <v>1915</v>
      </c>
    </row>
    <row r="10" spans="1:7" ht="45.75" customHeight="1">
      <c r="A10" s="29" t="s">
        <v>1916</v>
      </c>
      <c r="B10" s="29" t="s">
        <v>1917</v>
      </c>
      <c r="C10" s="29" t="s">
        <v>1918</v>
      </c>
      <c r="D10" s="29" t="s">
        <v>1919</v>
      </c>
      <c r="E10" s="29" t="s">
        <v>1920</v>
      </c>
      <c r="F10" s="29" t="s">
        <v>1921</v>
      </c>
      <c r="G10" s="29" t="s">
        <v>1922</v>
      </c>
    </row>
    <row r="11" spans="1:7" ht="45.75" customHeight="1">
      <c r="A11" s="27" t="s">
        <v>1923</v>
      </c>
      <c r="B11" s="27" t="s">
        <v>1924</v>
      </c>
      <c r="C11" s="27" t="s">
        <v>1925</v>
      </c>
      <c r="D11" s="27" t="s">
        <v>1926</v>
      </c>
      <c r="E11" s="27" t="s">
        <v>1927</v>
      </c>
      <c r="F11" s="27" t="s">
        <v>1928</v>
      </c>
      <c r="G11" s="27" t="s">
        <v>1929</v>
      </c>
    </row>
    <row r="12" spans="1:7" ht="45.75" customHeight="1">
      <c r="A12" s="29" t="s">
        <v>1930</v>
      </c>
      <c r="B12" s="29" t="s">
        <v>1931</v>
      </c>
      <c r="C12" s="29" t="s">
        <v>1932</v>
      </c>
      <c r="D12" s="29" t="s">
        <v>1933</v>
      </c>
      <c r="E12" s="29" t="s">
        <v>1934</v>
      </c>
      <c r="F12" s="29" t="s">
        <v>1935</v>
      </c>
      <c r="G12" s="29" t="s">
        <v>1936</v>
      </c>
    </row>
    <row r="13" spans="1:7" ht="45.75" customHeight="1">
      <c r="A13" s="27" t="s">
        <v>1937</v>
      </c>
      <c r="B13" s="27" t="s">
        <v>1938</v>
      </c>
      <c r="C13" s="27" t="s">
        <v>1939</v>
      </c>
      <c r="D13" s="27" t="s">
        <v>26</v>
      </c>
      <c r="E13" s="27" t="s">
        <v>1940</v>
      </c>
      <c r="F13" s="27" t="s">
        <v>1941</v>
      </c>
      <c r="G13" s="27" t="s">
        <v>1942</v>
      </c>
    </row>
    <row r="14" spans="1:7" ht="45.75" customHeight="1">
      <c r="A14" s="29" t="s">
        <v>1943</v>
      </c>
      <c r="B14" s="29" t="s">
        <v>1944</v>
      </c>
      <c r="C14" s="29" t="s">
        <v>1945</v>
      </c>
      <c r="D14" s="29" t="s">
        <v>1946</v>
      </c>
      <c r="E14" s="29" t="s">
        <v>1947</v>
      </c>
      <c r="F14" s="29" t="s">
        <v>1948</v>
      </c>
      <c r="G14" s="29" t="s">
        <v>1830</v>
      </c>
    </row>
    <row r="15" spans="1:7" ht="45.75" customHeight="1">
      <c r="A15" s="27" t="s">
        <v>1949</v>
      </c>
      <c r="B15" s="27" t="s">
        <v>1950</v>
      </c>
      <c r="C15" s="27" t="s">
        <v>1951</v>
      </c>
      <c r="D15" s="27" t="s">
        <v>41</v>
      </c>
      <c r="E15" s="27" t="s">
        <v>1900</v>
      </c>
      <c r="F15" s="27" t="s">
        <v>1952</v>
      </c>
      <c r="G15" s="27" t="s">
        <v>1953</v>
      </c>
    </row>
    <row r="16" spans="1:7" ht="45.75" customHeight="1">
      <c r="A16" s="29" t="s">
        <v>1954</v>
      </c>
      <c r="B16" s="29" t="s">
        <v>1955</v>
      </c>
      <c r="C16" s="29" t="s">
        <v>1956</v>
      </c>
      <c r="D16" s="29" t="s">
        <v>36</v>
      </c>
      <c r="E16" s="29" t="s">
        <v>1900</v>
      </c>
      <c r="F16" s="29" t="s">
        <v>1957</v>
      </c>
      <c r="G16" s="29" t="s">
        <v>1958</v>
      </c>
    </row>
    <row r="17" spans="1:7" ht="45.75" customHeight="1">
      <c r="A17" s="27" t="s">
        <v>1959</v>
      </c>
      <c r="B17" s="27" t="s">
        <v>1960</v>
      </c>
      <c r="C17" s="27" t="s">
        <v>1961</v>
      </c>
      <c r="D17" s="27" t="s">
        <v>1872</v>
      </c>
      <c r="E17" s="27" t="s">
        <v>1962</v>
      </c>
      <c r="F17" s="27" t="s">
        <v>1963</v>
      </c>
      <c r="G17" s="27" t="s">
        <v>1964</v>
      </c>
    </row>
    <row r="18" spans="1:7" ht="45.75" customHeight="1">
      <c r="A18" s="29" t="s">
        <v>1965</v>
      </c>
      <c r="B18" s="29" t="s">
        <v>1966</v>
      </c>
      <c r="C18" s="29" t="s">
        <v>1967</v>
      </c>
      <c r="D18" s="29" t="s">
        <v>1968</v>
      </c>
      <c r="E18" s="29" t="s">
        <v>1969</v>
      </c>
      <c r="F18" s="29" t="s">
        <v>1970</v>
      </c>
      <c r="G18" s="29" t="s">
        <v>1971</v>
      </c>
    </row>
    <row r="19" spans="1:7" ht="45.75" customHeight="1">
      <c r="A19" s="27" t="s">
        <v>1972</v>
      </c>
      <c r="B19" s="27" t="s">
        <v>1973</v>
      </c>
      <c r="C19" s="27" t="s">
        <v>1974</v>
      </c>
      <c r="D19" s="27" t="s">
        <v>1872</v>
      </c>
      <c r="E19" s="27" t="s">
        <v>1975</v>
      </c>
      <c r="F19" s="27" t="s">
        <v>1976</v>
      </c>
      <c r="G19" s="27" t="s">
        <v>1977</v>
      </c>
    </row>
    <row r="20" spans="1:7" ht="45.75" customHeight="1">
      <c r="A20" s="29" t="s">
        <v>1978</v>
      </c>
      <c r="B20" s="29" t="s">
        <v>1979</v>
      </c>
      <c r="C20" s="29" t="s">
        <v>1980</v>
      </c>
      <c r="D20" s="29" t="s">
        <v>1981</v>
      </c>
      <c r="E20" s="29" t="s">
        <v>1982</v>
      </c>
      <c r="F20" s="29" t="s">
        <v>1983</v>
      </c>
      <c r="G20" s="29" t="s">
        <v>871</v>
      </c>
    </row>
  </sheetData>
  <autoFilter ref="A4:G20"/>
  <mergeCells count="2">
    <mergeCell ref="A1:G1"/>
    <mergeCell ref="A2:G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G18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42.7109375" customWidth="1"/>
    <col min="3" max="3" width="85.7109375" customWidth="1"/>
    <col min="4" max="4" width="115.7109375" customWidth="1"/>
    <col min="5" max="5" width="45.7109375" customWidth="1"/>
    <col min="6" max="6" width="35.7109375" customWidth="1"/>
    <col min="7" max="7" width="95.7109375" customWidth="1"/>
  </cols>
  <sheetData>
    <row r="1" spans="1:7" ht="36" customHeight="1">
      <c r="A1" s="7" t="s">
        <v>1984</v>
      </c>
      <c r="B1" s="7"/>
      <c r="C1" s="7"/>
      <c r="D1" s="7"/>
      <c r="E1" s="7"/>
      <c r="F1" s="7"/>
      <c r="G1" s="7"/>
    </row>
    <row r="2" spans="1:7" ht="36" customHeight="1">
      <c r="A2" s="8" t="s">
        <v>1985</v>
      </c>
      <c r="B2" s="8"/>
      <c r="C2" s="8"/>
      <c r="D2" s="8"/>
      <c r="E2" s="8"/>
      <c r="F2" s="8"/>
      <c r="G2" s="8"/>
    </row>
    <row r="3" spans="1:7">
      <c r="A3" s="9" t="s">
        <v>79</v>
      </c>
    </row>
    <row r="4" spans="1:7" ht="33.75" customHeight="1">
      <c r="A4" s="26" t="s">
        <v>1986</v>
      </c>
      <c r="B4" s="26" t="s">
        <v>1987</v>
      </c>
      <c r="C4" s="26" t="s">
        <v>1988</v>
      </c>
      <c r="D4" s="26" t="s">
        <v>1989</v>
      </c>
      <c r="E4" s="26" t="s">
        <v>1990</v>
      </c>
      <c r="F4" s="26" t="s">
        <v>1991</v>
      </c>
      <c r="G4" s="26" t="s">
        <v>1992</v>
      </c>
    </row>
    <row r="5" spans="1:7" ht="45.75" customHeight="1">
      <c r="A5" s="27" t="s">
        <v>1993</v>
      </c>
      <c r="B5" s="27" t="s">
        <v>1994</v>
      </c>
      <c r="C5" s="27" t="s">
        <v>1995</v>
      </c>
      <c r="D5" s="27" t="s">
        <v>1996</v>
      </c>
      <c r="E5" s="27" t="s">
        <v>1997</v>
      </c>
      <c r="F5" s="27" t="s">
        <v>112</v>
      </c>
      <c r="G5" s="27" t="s">
        <v>1998</v>
      </c>
    </row>
    <row r="6" spans="1:7" ht="45.75" customHeight="1">
      <c r="A6" s="29" t="s">
        <v>1999</v>
      </c>
      <c r="B6" s="29" t="s">
        <v>2000</v>
      </c>
      <c r="C6" s="29" t="s">
        <v>2001</v>
      </c>
      <c r="D6" s="29" t="s">
        <v>2002</v>
      </c>
      <c r="E6" s="29" t="s">
        <v>2003</v>
      </c>
      <c r="F6" s="29" t="s">
        <v>112</v>
      </c>
      <c r="G6" s="29" t="s">
        <v>2004</v>
      </c>
    </row>
    <row r="7" spans="1:7" ht="45.75" customHeight="1">
      <c r="A7" s="27" t="s">
        <v>2005</v>
      </c>
      <c r="B7" s="27" t="s">
        <v>2006</v>
      </c>
      <c r="C7" s="27" t="s">
        <v>2007</v>
      </c>
      <c r="D7" s="27" t="s">
        <v>2008</v>
      </c>
      <c r="E7" s="27" t="s">
        <v>2009</v>
      </c>
      <c r="F7" s="27" t="s">
        <v>2010</v>
      </c>
      <c r="G7" s="27" t="s">
        <v>2011</v>
      </c>
    </row>
    <row r="8" spans="1:7" ht="62.25" customHeight="1">
      <c r="A8" s="29" t="s">
        <v>2012</v>
      </c>
      <c r="B8" s="29" t="s">
        <v>2013</v>
      </c>
      <c r="C8" s="29" t="s">
        <v>2014</v>
      </c>
      <c r="D8" s="29" t="s">
        <v>2015</v>
      </c>
      <c r="E8" s="29" t="s">
        <v>2016</v>
      </c>
      <c r="F8" s="29" t="s">
        <v>2017</v>
      </c>
      <c r="G8" s="29" t="s">
        <v>2018</v>
      </c>
    </row>
    <row r="9" spans="1:7" ht="45.75" customHeight="1">
      <c r="A9" s="27" t="s">
        <v>2019</v>
      </c>
      <c r="B9" s="27" t="s">
        <v>2020</v>
      </c>
      <c r="C9" s="27" t="s">
        <v>2021</v>
      </c>
      <c r="D9" s="27" t="s">
        <v>2022</v>
      </c>
      <c r="E9" s="27" t="s">
        <v>2023</v>
      </c>
      <c r="F9" s="27" t="s">
        <v>2024</v>
      </c>
      <c r="G9" s="27" t="s">
        <v>2025</v>
      </c>
    </row>
    <row r="10" spans="1:7" ht="62.25" customHeight="1">
      <c r="A10" s="29" t="s">
        <v>2026</v>
      </c>
      <c r="B10" s="29" t="s">
        <v>2027</v>
      </c>
      <c r="C10" s="29" t="s">
        <v>2028</v>
      </c>
      <c r="D10" s="29" t="s">
        <v>2029</v>
      </c>
      <c r="E10" s="29" t="s">
        <v>2030</v>
      </c>
      <c r="F10" s="29" t="s">
        <v>2031</v>
      </c>
      <c r="G10" s="29" t="s">
        <v>2032</v>
      </c>
    </row>
    <row r="11" spans="1:7" ht="45.75" customHeight="1">
      <c r="A11" s="27" t="s">
        <v>2033</v>
      </c>
      <c r="B11" s="27" t="s">
        <v>2034</v>
      </c>
      <c r="C11" s="27" t="s">
        <v>2035</v>
      </c>
      <c r="D11" s="27" t="s">
        <v>2036</v>
      </c>
      <c r="E11" s="27" t="s">
        <v>2037</v>
      </c>
      <c r="F11" s="27" t="s">
        <v>2038</v>
      </c>
      <c r="G11" s="27" t="s">
        <v>2039</v>
      </c>
    </row>
    <row r="12" spans="1:7" ht="45.75" customHeight="1">
      <c r="A12" s="29" t="s">
        <v>2040</v>
      </c>
      <c r="B12" s="29" t="s">
        <v>2041</v>
      </c>
      <c r="C12" s="29" t="s">
        <v>2042</v>
      </c>
      <c r="D12" s="29" t="s">
        <v>2043</v>
      </c>
      <c r="E12" s="29" t="s">
        <v>2044</v>
      </c>
      <c r="F12" s="29" t="s">
        <v>2045</v>
      </c>
      <c r="G12" s="29" t="s">
        <v>2046</v>
      </c>
    </row>
    <row r="13" spans="1:7" ht="45.75" customHeight="1">
      <c r="A13" s="27" t="s">
        <v>2047</v>
      </c>
      <c r="B13" s="27" t="s">
        <v>2048</v>
      </c>
      <c r="C13" s="27" t="s">
        <v>2049</v>
      </c>
      <c r="D13" s="27" t="s">
        <v>2050</v>
      </c>
      <c r="E13" s="27" t="s">
        <v>2051</v>
      </c>
      <c r="F13" s="27" t="s">
        <v>2052</v>
      </c>
      <c r="G13" s="27" t="s">
        <v>2053</v>
      </c>
    </row>
    <row r="14" spans="1:7" ht="45.75" customHeight="1">
      <c r="A14" s="29" t="s">
        <v>2054</v>
      </c>
      <c r="B14" s="29" t="s">
        <v>2055</v>
      </c>
      <c r="C14" s="29" t="s">
        <v>2056</v>
      </c>
      <c r="D14" s="29" t="s">
        <v>2057</v>
      </c>
      <c r="E14" s="29" t="s">
        <v>2058</v>
      </c>
      <c r="F14" s="29" t="s">
        <v>2059</v>
      </c>
      <c r="G14" s="29" t="s">
        <v>2060</v>
      </c>
    </row>
    <row r="15" spans="1:7" ht="45.75" customHeight="1">
      <c r="A15" s="27" t="s">
        <v>2061</v>
      </c>
      <c r="B15" s="27" t="s">
        <v>2062</v>
      </c>
      <c r="C15" s="27" t="s">
        <v>2063</v>
      </c>
      <c r="D15" s="27" t="s">
        <v>2064</v>
      </c>
      <c r="E15" s="27" t="s">
        <v>2065</v>
      </c>
      <c r="F15" s="27" t="s">
        <v>2066</v>
      </c>
      <c r="G15" s="27" t="s">
        <v>2067</v>
      </c>
    </row>
    <row r="16" spans="1:7" ht="45.75" customHeight="1">
      <c r="A16" s="29" t="s">
        <v>2068</v>
      </c>
      <c r="B16" s="29" t="s">
        <v>2069</v>
      </c>
      <c r="C16" s="29" t="s">
        <v>2070</v>
      </c>
      <c r="D16" s="29" t="s">
        <v>2071</v>
      </c>
      <c r="E16" s="29" t="s">
        <v>2072</v>
      </c>
      <c r="F16" s="29" t="s">
        <v>2073</v>
      </c>
      <c r="G16" s="29" t="s">
        <v>2074</v>
      </c>
    </row>
    <row r="17" spans="1:7" ht="45.75" customHeight="1">
      <c r="A17" s="27" t="s">
        <v>2075</v>
      </c>
      <c r="B17" s="27" t="s">
        <v>2076</v>
      </c>
      <c r="C17" s="27" t="s">
        <v>2077</v>
      </c>
      <c r="D17" s="27" t="s">
        <v>2078</v>
      </c>
      <c r="E17" s="27" t="s">
        <v>2079</v>
      </c>
      <c r="F17" s="27" t="s">
        <v>2080</v>
      </c>
      <c r="G17" s="27" t="s">
        <v>2081</v>
      </c>
    </row>
    <row r="18" spans="1:7" ht="45.75" customHeight="1">
      <c r="A18" s="29" t="s">
        <v>2082</v>
      </c>
      <c r="B18" s="29" t="s">
        <v>2083</v>
      </c>
      <c r="C18" s="29" t="s">
        <v>2084</v>
      </c>
      <c r="D18" s="29" t="s">
        <v>2085</v>
      </c>
      <c r="E18" s="29" t="s">
        <v>2086</v>
      </c>
      <c r="F18" s="29" t="s">
        <v>2087</v>
      </c>
      <c r="G18" s="29" t="s">
        <v>2088</v>
      </c>
    </row>
  </sheetData>
  <autoFilter ref="A4:G18"/>
  <mergeCells count="2">
    <mergeCell ref="A1:G1"/>
    <mergeCell ref="A2:G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H12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7.7109375" customWidth="1"/>
    <col min="2" max="2" width="70.7109375" customWidth="1"/>
    <col min="3" max="3" width="36.7109375" customWidth="1"/>
    <col min="4" max="4" width="40.7109375" customWidth="1"/>
    <col min="5" max="5" width="50.7109375" customWidth="1"/>
    <col min="6" max="6" width="95.7109375" customWidth="1"/>
    <col min="7" max="7" width="90.7109375" customWidth="1"/>
    <col min="8" max="8" width="95.7109375" customWidth="1"/>
  </cols>
  <sheetData>
    <row r="1" spans="1:8" ht="36" customHeight="1">
      <c r="A1" s="7" t="s">
        <v>2089</v>
      </c>
      <c r="B1" s="7"/>
      <c r="C1" s="7"/>
      <c r="D1" s="7"/>
      <c r="E1" s="7"/>
      <c r="F1" s="7"/>
      <c r="G1" s="7"/>
      <c r="H1" s="7"/>
    </row>
    <row r="2" spans="1:8" ht="36" customHeight="1">
      <c r="A2" s="8" t="s">
        <v>2090</v>
      </c>
      <c r="B2" s="8"/>
      <c r="C2" s="8"/>
      <c r="D2" s="8"/>
      <c r="E2" s="8"/>
      <c r="F2" s="8"/>
      <c r="G2" s="8"/>
      <c r="H2" s="8"/>
    </row>
    <row r="3" spans="1:8">
      <c r="A3" s="9" t="s">
        <v>79</v>
      </c>
    </row>
    <row r="4" spans="1:8" ht="33.75" customHeight="1">
      <c r="A4" s="26" t="s">
        <v>142</v>
      </c>
      <c r="B4" s="26" t="s">
        <v>2091</v>
      </c>
      <c r="C4" s="26" t="s">
        <v>2092</v>
      </c>
      <c r="D4" s="26" t="s">
        <v>2093</v>
      </c>
      <c r="E4" s="26" t="s">
        <v>1093</v>
      </c>
      <c r="F4" s="26" t="s">
        <v>2094</v>
      </c>
      <c r="G4" s="26" t="s">
        <v>2095</v>
      </c>
      <c r="H4" s="26" t="s">
        <v>2096</v>
      </c>
    </row>
    <row r="5" spans="1:8" ht="35.25" customHeight="1">
      <c r="A5" s="27" t="s">
        <v>1582</v>
      </c>
      <c r="B5" s="27" t="s">
        <v>1583</v>
      </c>
      <c r="C5" s="27" t="s">
        <v>1585</v>
      </c>
      <c r="D5" s="27" t="s">
        <v>357</v>
      </c>
      <c r="E5" s="27" t="s">
        <v>1584</v>
      </c>
      <c r="F5" s="27" t="s">
        <v>2097</v>
      </c>
      <c r="G5" s="27" t="s">
        <v>2098</v>
      </c>
      <c r="H5" s="27" t="s">
        <v>2099</v>
      </c>
    </row>
    <row r="6" spans="1:8" ht="35.25" customHeight="1">
      <c r="A6" s="29" t="s">
        <v>1587</v>
      </c>
      <c r="B6" s="29" t="s">
        <v>1588</v>
      </c>
      <c r="C6" s="29" t="s">
        <v>1585</v>
      </c>
      <c r="D6" s="29" t="s">
        <v>357</v>
      </c>
      <c r="E6" s="29" t="s">
        <v>1589</v>
      </c>
      <c r="F6" s="29" t="s">
        <v>2100</v>
      </c>
      <c r="G6" s="29" t="s">
        <v>2101</v>
      </c>
      <c r="H6" s="29" t="s">
        <v>2102</v>
      </c>
    </row>
    <row r="7" spans="1:8" ht="45.75" customHeight="1">
      <c r="A7" s="27" t="s">
        <v>1591</v>
      </c>
      <c r="B7" s="27" t="s">
        <v>1592</v>
      </c>
      <c r="C7" s="27" t="s">
        <v>1595</v>
      </c>
      <c r="D7" s="27" t="s">
        <v>2103</v>
      </c>
      <c r="E7" s="27" t="s">
        <v>1593</v>
      </c>
      <c r="F7" s="27" t="s">
        <v>2104</v>
      </c>
      <c r="G7" s="27" t="s">
        <v>2105</v>
      </c>
      <c r="H7" s="27" t="s">
        <v>2106</v>
      </c>
    </row>
    <row r="8" spans="1:8" ht="35.25" customHeight="1">
      <c r="A8" s="29" t="s">
        <v>1597</v>
      </c>
      <c r="B8" s="29" t="s">
        <v>1598</v>
      </c>
      <c r="C8" s="29" t="s">
        <v>1585</v>
      </c>
      <c r="D8" s="29" t="s">
        <v>2107</v>
      </c>
      <c r="E8" s="29" t="s">
        <v>1599</v>
      </c>
      <c r="F8" s="29" t="s">
        <v>2108</v>
      </c>
      <c r="G8" s="29" t="s">
        <v>2109</v>
      </c>
      <c r="H8" s="29" t="s">
        <v>2110</v>
      </c>
    </row>
    <row r="9" spans="1:8" ht="45.75" customHeight="1">
      <c r="A9" s="27" t="s">
        <v>1602</v>
      </c>
      <c r="B9" s="27" t="s">
        <v>1603</v>
      </c>
      <c r="C9" s="27" t="s">
        <v>1606</v>
      </c>
      <c r="D9" s="27" t="s">
        <v>2111</v>
      </c>
      <c r="E9" s="27" t="s">
        <v>1604</v>
      </c>
      <c r="F9" s="27" t="s">
        <v>2112</v>
      </c>
      <c r="G9" s="27" t="s">
        <v>2113</v>
      </c>
      <c r="H9" s="27" t="s">
        <v>2114</v>
      </c>
    </row>
    <row r="10" spans="1:8" ht="45.75" customHeight="1">
      <c r="A10" s="29" t="s">
        <v>1608</v>
      </c>
      <c r="B10" s="29" t="s">
        <v>1609</v>
      </c>
      <c r="C10" s="29" t="s">
        <v>1612</v>
      </c>
      <c r="D10" s="29" t="s">
        <v>2115</v>
      </c>
      <c r="E10" s="29" t="s">
        <v>1610</v>
      </c>
      <c r="F10" s="29" t="s">
        <v>2116</v>
      </c>
      <c r="G10" s="29" t="s">
        <v>2117</v>
      </c>
      <c r="H10" s="29" t="s">
        <v>2118</v>
      </c>
    </row>
    <row r="11" spans="1:8" ht="35.25" customHeight="1">
      <c r="A11" s="27" t="s">
        <v>1614</v>
      </c>
      <c r="B11" s="27" t="s">
        <v>1615</v>
      </c>
      <c r="C11" s="27" t="s">
        <v>1618</v>
      </c>
      <c r="D11" s="27" t="s">
        <v>2119</v>
      </c>
      <c r="E11" s="27" t="s">
        <v>1616</v>
      </c>
      <c r="F11" s="27" t="s">
        <v>2120</v>
      </c>
      <c r="G11" s="27" t="s">
        <v>2121</v>
      </c>
      <c r="H11" s="27" t="s">
        <v>2122</v>
      </c>
    </row>
    <row r="12" spans="1:8" ht="45.75" customHeight="1">
      <c r="A12" s="29" t="s">
        <v>1620</v>
      </c>
      <c r="B12" s="29" t="s">
        <v>1621</v>
      </c>
      <c r="C12" s="29" t="s">
        <v>1585</v>
      </c>
      <c r="D12" s="29" t="s">
        <v>2123</v>
      </c>
      <c r="E12" s="29" t="s">
        <v>1622</v>
      </c>
      <c r="F12" s="29" t="s">
        <v>2124</v>
      </c>
      <c r="G12" s="29" t="s">
        <v>2125</v>
      </c>
      <c r="H12" s="29" t="s">
        <v>2126</v>
      </c>
    </row>
  </sheetData>
  <autoFilter ref="A4:H12"/>
  <mergeCells count="2">
    <mergeCell ref="A1:H1"/>
    <mergeCell ref="A2:H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H30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40.7109375" customWidth="1"/>
    <col min="3" max="3" width="85.7109375" customWidth="1"/>
    <col min="4" max="4" width="95.7109375" customWidth="1"/>
    <col min="5" max="5" width="65.7109375" customWidth="1"/>
    <col min="6" max="6" width="100.7109375" customWidth="1"/>
    <col min="7" max="7" width="70.7109375" customWidth="1"/>
    <col min="8" max="8" width="18.7109375" customWidth="1"/>
  </cols>
  <sheetData>
    <row r="1" spans="1:8" ht="36" customHeight="1">
      <c r="A1" s="7" t="s">
        <v>2127</v>
      </c>
      <c r="B1" s="7"/>
      <c r="C1" s="7"/>
      <c r="D1" s="7"/>
      <c r="E1" s="7"/>
      <c r="F1" s="7"/>
      <c r="G1" s="7"/>
      <c r="H1" s="7"/>
    </row>
    <row r="2" spans="1:8" ht="36" customHeight="1">
      <c r="A2" s="8" t="s">
        <v>2128</v>
      </c>
      <c r="B2" s="8"/>
      <c r="C2" s="8"/>
      <c r="D2" s="8"/>
      <c r="E2" s="8"/>
      <c r="F2" s="8"/>
      <c r="G2" s="8"/>
      <c r="H2" s="8"/>
    </row>
    <row r="3" spans="1:8">
      <c r="A3" s="9" t="s">
        <v>79</v>
      </c>
    </row>
    <row r="4" spans="1:8" ht="33.75" customHeight="1">
      <c r="A4" s="26" t="s">
        <v>2129</v>
      </c>
      <c r="B4" s="26" t="s">
        <v>2130</v>
      </c>
      <c r="C4" s="26" t="s">
        <v>2131</v>
      </c>
      <c r="D4" s="26" t="s">
        <v>2132</v>
      </c>
      <c r="E4" s="26" t="s">
        <v>2133</v>
      </c>
      <c r="F4" s="26" t="s">
        <v>2134</v>
      </c>
      <c r="G4" s="26" t="s">
        <v>2135</v>
      </c>
      <c r="H4" s="26" t="s">
        <v>2136</v>
      </c>
    </row>
    <row r="5" spans="1:8" ht="45.75" customHeight="1">
      <c r="A5" s="27" t="s">
        <v>2137</v>
      </c>
      <c r="B5" s="27" t="s">
        <v>2138</v>
      </c>
      <c r="C5" s="37" t="s">
        <v>2139</v>
      </c>
      <c r="D5" s="27" t="s">
        <v>2140</v>
      </c>
      <c r="E5" s="27" t="s">
        <v>2141</v>
      </c>
      <c r="F5" s="27" t="s">
        <v>2142</v>
      </c>
      <c r="G5" s="27" t="s">
        <v>2143</v>
      </c>
      <c r="H5" s="27" t="s">
        <v>2144</v>
      </c>
    </row>
    <row r="6" spans="1:8" ht="62.25" customHeight="1">
      <c r="A6" s="29" t="s">
        <v>2145</v>
      </c>
      <c r="B6" s="29" t="s">
        <v>2146</v>
      </c>
      <c r="C6" s="38" t="s">
        <v>2147</v>
      </c>
      <c r="D6" s="29" t="s">
        <v>2148</v>
      </c>
      <c r="E6" s="29" t="s">
        <v>2149</v>
      </c>
      <c r="F6" s="29" t="s">
        <v>2150</v>
      </c>
      <c r="G6" s="29" t="s">
        <v>2151</v>
      </c>
      <c r="H6" s="29" t="s">
        <v>2144</v>
      </c>
    </row>
    <row r="7" spans="1:8" ht="45.75" customHeight="1">
      <c r="A7" s="27" t="s">
        <v>2152</v>
      </c>
      <c r="B7" s="27" t="s">
        <v>2153</v>
      </c>
      <c r="C7" s="37" t="s">
        <v>2154</v>
      </c>
      <c r="D7" s="27" t="s">
        <v>2155</v>
      </c>
      <c r="E7" s="27" t="s">
        <v>2156</v>
      </c>
      <c r="F7" s="27" t="s">
        <v>2157</v>
      </c>
      <c r="G7" s="27" t="s">
        <v>2158</v>
      </c>
      <c r="H7" s="27" t="s">
        <v>2144</v>
      </c>
    </row>
    <row r="8" spans="1:8" ht="45.75" customHeight="1">
      <c r="A8" s="29" t="s">
        <v>2159</v>
      </c>
      <c r="B8" s="29" t="s">
        <v>2160</v>
      </c>
      <c r="C8" s="38" t="s">
        <v>2161</v>
      </c>
      <c r="D8" s="29" t="s">
        <v>2162</v>
      </c>
      <c r="E8" s="29" t="s">
        <v>2163</v>
      </c>
      <c r="F8" s="29" t="s">
        <v>2164</v>
      </c>
      <c r="G8" s="29" t="s">
        <v>2165</v>
      </c>
      <c r="H8" s="29" t="s">
        <v>2144</v>
      </c>
    </row>
    <row r="9" spans="1:8" ht="45.75" customHeight="1">
      <c r="A9" s="27" t="s">
        <v>2166</v>
      </c>
      <c r="B9" s="27" t="s">
        <v>2167</v>
      </c>
      <c r="C9" s="37" t="s">
        <v>2168</v>
      </c>
      <c r="D9" s="27" t="s">
        <v>2169</v>
      </c>
      <c r="E9" s="27" t="s">
        <v>2170</v>
      </c>
      <c r="F9" s="27" t="s">
        <v>2171</v>
      </c>
      <c r="G9" s="27" t="s">
        <v>2172</v>
      </c>
      <c r="H9" s="27" t="s">
        <v>2144</v>
      </c>
    </row>
    <row r="10" spans="1:8" ht="45.75" customHeight="1">
      <c r="A10" s="29" t="s">
        <v>2173</v>
      </c>
      <c r="B10" s="29" t="s">
        <v>2174</v>
      </c>
      <c r="C10" s="38" t="s">
        <v>2175</v>
      </c>
      <c r="D10" s="29" t="s">
        <v>2176</v>
      </c>
      <c r="E10" s="29" t="s">
        <v>2177</v>
      </c>
      <c r="F10" s="29" t="s">
        <v>2178</v>
      </c>
      <c r="G10" s="29" t="s">
        <v>2179</v>
      </c>
      <c r="H10" s="29" t="s">
        <v>2144</v>
      </c>
    </row>
    <row r="11" spans="1:8" ht="45.75" customHeight="1">
      <c r="A11" s="27" t="s">
        <v>2180</v>
      </c>
      <c r="B11" s="27" t="s">
        <v>2181</v>
      </c>
      <c r="C11" s="37" t="s">
        <v>2182</v>
      </c>
      <c r="D11" s="27" t="s">
        <v>2183</v>
      </c>
      <c r="E11" s="27" t="s">
        <v>2184</v>
      </c>
      <c r="F11" s="27" t="s">
        <v>2185</v>
      </c>
      <c r="G11" s="27" t="s">
        <v>2186</v>
      </c>
      <c r="H11" s="27" t="s">
        <v>2144</v>
      </c>
    </row>
    <row r="12" spans="1:8" ht="45.75" customHeight="1">
      <c r="A12" s="29" t="s">
        <v>2187</v>
      </c>
      <c r="B12" s="29" t="s">
        <v>2188</v>
      </c>
      <c r="C12" s="38" t="s">
        <v>2189</v>
      </c>
      <c r="D12" s="29" t="s">
        <v>2190</v>
      </c>
      <c r="E12" s="29" t="s">
        <v>2191</v>
      </c>
      <c r="F12" s="29" t="s">
        <v>2192</v>
      </c>
      <c r="G12" s="29" t="s">
        <v>2193</v>
      </c>
      <c r="H12" s="29" t="s">
        <v>2144</v>
      </c>
    </row>
    <row r="13" spans="1:8" ht="45.75" customHeight="1">
      <c r="A13" s="27" t="s">
        <v>2194</v>
      </c>
      <c r="B13" s="27" t="s">
        <v>2195</v>
      </c>
      <c r="C13" s="37" t="s">
        <v>2196</v>
      </c>
      <c r="D13" s="27" t="s">
        <v>2197</v>
      </c>
      <c r="E13" s="27" t="s">
        <v>2198</v>
      </c>
      <c r="F13" s="27" t="s">
        <v>2199</v>
      </c>
      <c r="G13" s="27" t="s">
        <v>2200</v>
      </c>
      <c r="H13" s="27" t="s">
        <v>2144</v>
      </c>
    </row>
    <row r="14" spans="1:8" ht="45.75" customHeight="1">
      <c r="A14" s="29" t="s">
        <v>2201</v>
      </c>
      <c r="B14" s="29" t="s">
        <v>2202</v>
      </c>
      <c r="C14" s="38" t="s">
        <v>2203</v>
      </c>
      <c r="D14" s="29" t="s">
        <v>2204</v>
      </c>
      <c r="E14" s="29" t="s">
        <v>2205</v>
      </c>
      <c r="F14" s="29" t="s">
        <v>2206</v>
      </c>
      <c r="G14" s="29" t="s">
        <v>2207</v>
      </c>
      <c r="H14" s="29" t="s">
        <v>2144</v>
      </c>
    </row>
    <row r="15" spans="1:8" ht="45.75" customHeight="1">
      <c r="A15" s="27" t="s">
        <v>2208</v>
      </c>
      <c r="B15" s="27" t="s">
        <v>2209</v>
      </c>
      <c r="C15" s="37" t="s">
        <v>2210</v>
      </c>
      <c r="D15" s="27" t="s">
        <v>2211</v>
      </c>
      <c r="E15" s="27" t="s">
        <v>2212</v>
      </c>
      <c r="F15" s="27" t="s">
        <v>2213</v>
      </c>
      <c r="G15" s="27" t="s">
        <v>2214</v>
      </c>
      <c r="H15" s="27" t="s">
        <v>2144</v>
      </c>
    </row>
    <row r="16" spans="1:8" ht="45.75" customHeight="1">
      <c r="A16" s="29" t="s">
        <v>2215</v>
      </c>
      <c r="B16" s="29" t="s">
        <v>2216</v>
      </c>
      <c r="C16" s="38" t="s">
        <v>2217</v>
      </c>
      <c r="D16" s="29" t="s">
        <v>2218</v>
      </c>
      <c r="E16" s="29" t="s">
        <v>2219</v>
      </c>
      <c r="F16" s="29" t="s">
        <v>2220</v>
      </c>
      <c r="G16" s="29" t="s">
        <v>2221</v>
      </c>
      <c r="H16" s="29" t="s">
        <v>2144</v>
      </c>
    </row>
    <row r="17" spans="1:8" ht="45.75" customHeight="1">
      <c r="A17" s="27" t="s">
        <v>2222</v>
      </c>
      <c r="B17" s="27" t="s">
        <v>2223</v>
      </c>
      <c r="C17" s="37" t="s">
        <v>2224</v>
      </c>
      <c r="D17" s="27" t="s">
        <v>2225</v>
      </c>
      <c r="E17" s="27" t="s">
        <v>2226</v>
      </c>
      <c r="F17" s="27" t="s">
        <v>2227</v>
      </c>
      <c r="G17" s="27" t="s">
        <v>2228</v>
      </c>
      <c r="H17" s="27" t="s">
        <v>2144</v>
      </c>
    </row>
    <row r="18" spans="1:8" ht="45.75" customHeight="1">
      <c r="A18" s="29" t="s">
        <v>2229</v>
      </c>
      <c r="B18" s="29" t="s">
        <v>2230</v>
      </c>
      <c r="C18" s="38" t="s">
        <v>2231</v>
      </c>
      <c r="D18" s="29" t="s">
        <v>2232</v>
      </c>
      <c r="E18" s="29" t="s">
        <v>2233</v>
      </c>
      <c r="F18" s="29" t="s">
        <v>2234</v>
      </c>
      <c r="G18" s="29" t="s">
        <v>2235</v>
      </c>
      <c r="H18" s="29" t="s">
        <v>2144</v>
      </c>
    </row>
    <row r="19" spans="1:8" ht="45.75" customHeight="1">
      <c r="A19" s="27" t="s">
        <v>2236</v>
      </c>
      <c r="B19" s="27" t="s">
        <v>2237</v>
      </c>
      <c r="C19" s="37" t="s">
        <v>2238</v>
      </c>
      <c r="D19" s="27" t="s">
        <v>2239</v>
      </c>
      <c r="E19" s="27" t="s">
        <v>2240</v>
      </c>
      <c r="F19" s="27" t="s">
        <v>2234</v>
      </c>
      <c r="G19" s="27" t="s">
        <v>2241</v>
      </c>
      <c r="H19" s="27" t="s">
        <v>2144</v>
      </c>
    </row>
    <row r="20" spans="1:8" ht="45.75" customHeight="1">
      <c r="A20" s="29" t="s">
        <v>2242</v>
      </c>
      <c r="B20" s="29" t="s">
        <v>2243</v>
      </c>
      <c r="C20" s="38" t="s">
        <v>2244</v>
      </c>
      <c r="D20" s="29" t="s">
        <v>2245</v>
      </c>
      <c r="E20" s="29" t="s">
        <v>2246</v>
      </c>
      <c r="F20" s="29" t="s">
        <v>2247</v>
      </c>
      <c r="G20" s="29" t="s">
        <v>2248</v>
      </c>
      <c r="H20" s="29" t="s">
        <v>2144</v>
      </c>
    </row>
    <row r="21" spans="1:8" ht="45.75" customHeight="1">
      <c r="A21" s="27" t="s">
        <v>2249</v>
      </c>
      <c r="B21" s="27" t="s">
        <v>2250</v>
      </c>
      <c r="C21" s="37" t="s">
        <v>2251</v>
      </c>
      <c r="D21" s="27" t="s">
        <v>2252</v>
      </c>
      <c r="E21" s="27" t="s">
        <v>2253</v>
      </c>
      <c r="F21" s="27" t="s">
        <v>2254</v>
      </c>
      <c r="G21" s="27" t="s">
        <v>2255</v>
      </c>
      <c r="H21" s="27" t="s">
        <v>2144</v>
      </c>
    </row>
    <row r="22" spans="1:8" ht="45.75" customHeight="1">
      <c r="A22" s="29" t="s">
        <v>2256</v>
      </c>
      <c r="B22" s="29" t="s">
        <v>2257</v>
      </c>
      <c r="C22" s="38" t="s">
        <v>2258</v>
      </c>
      <c r="D22" s="29" t="s">
        <v>2259</v>
      </c>
      <c r="E22" s="29" t="s">
        <v>2260</v>
      </c>
      <c r="F22" s="29" t="s">
        <v>2261</v>
      </c>
      <c r="G22" s="29" t="s">
        <v>2262</v>
      </c>
      <c r="H22" s="29" t="s">
        <v>2144</v>
      </c>
    </row>
    <row r="23" spans="1:8" ht="45.75" customHeight="1">
      <c r="A23" s="27" t="s">
        <v>2263</v>
      </c>
      <c r="B23" s="27" t="s">
        <v>2264</v>
      </c>
      <c r="C23" s="37" t="s">
        <v>2265</v>
      </c>
      <c r="D23" s="27" t="s">
        <v>2266</v>
      </c>
      <c r="E23" s="27" t="s">
        <v>2267</v>
      </c>
      <c r="F23" s="27" t="s">
        <v>2268</v>
      </c>
      <c r="G23" s="27" t="s">
        <v>2269</v>
      </c>
      <c r="H23" s="27" t="s">
        <v>2144</v>
      </c>
    </row>
    <row r="24" spans="1:8" ht="45.75" customHeight="1">
      <c r="A24" s="29" t="s">
        <v>2270</v>
      </c>
      <c r="B24" s="29" t="s">
        <v>2271</v>
      </c>
      <c r="C24" s="38" t="s">
        <v>2272</v>
      </c>
      <c r="D24" s="29" t="s">
        <v>2273</v>
      </c>
      <c r="E24" s="29" t="s">
        <v>2274</v>
      </c>
      <c r="F24" s="29" t="s">
        <v>2275</v>
      </c>
      <c r="G24" s="29" t="s">
        <v>2276</v>
      </c>
      <c r="H24" s="29" t="s">
        <v>2144</v>
      </c>
    </row>
    <row r="25" spans="1:8" ht="45.75" customHeight="1">
      <c r="A25" s="27" t="s">
        <v>2277</v>
      </c>
      <c r="B25" s="27" t="s">
        <v>2278</v>
      </c>
      <c r="C25" s="37" t="s">
        <v>2279</v>
      </c>
      <c r="D25" s="27" t="s">
        <v>2280</v>
      </c>
      <c r="E25" s="27" t="s">
        <v>2281</v>
      </c>
      <c r="F25" s="27" t="s">
        <v>2282</v>
      </c>
      <c r="G25" s="27" t="s">
        <v>2283</v>
      </c>
      <c r="H25" s="27" t="s">
        <v>2144</v>
      </c>
    </row>
    <row r="26" spans="1:8" ht="62.25" customHeight="1">
      <c r="A26" s="29" t="s">
        <v>2284</v>
      </c>
      <c r="B26" s="29" t="s">
        <v>2285</v>
      </c>
      <c r="C26" s="38" t="s">
        <v>2286</v>
      </c>
      <c r="D26" s="29" t="s">
        <v>2287</v>
      </c>
      <c r="E26" s="29" t="s">
        <v>2288</v>
      </c>
      <c r="F26" s="29" t="s">
        <v>2289</v>
      </c>
      <c r="G26" s="29" t="s">
        <v>2290</v>
      </c>
      <c r="H26" s="29" t="s">
        <v>2144</v>
      </c>
    </row>
    <row r="27" spans="1:8" ht="35.25" customHeight="1">
      <c r="A27" s="27" t="s">
        <v>2291</v>
      </c>
      <c r="B27" s="27" t="s">
        <v>2292</v>
      </c>
      <c r="C27" s="37" t="s">
        <v>2293</v>
      </c>
      <c r="D27" s="27" t="s">
        <v>2294</v>
      </c>
      <c r="E27" s="27" t="s">
        <v>1885</v>
      </c>
      <c r="F27" s="27" t="s">
        <v>2295</v>
      </c>
      <c r="H27" s="27" t="s">
        <v>2144</v>
      </c>
    </row>
    <row r="28" spans="1:8" ht="35.25" customHeight="1">
      <c r="A28" s="29" t="s">
        <v>2296</v>
      </c>
      <c r="B28" s="29" t="s">
        <v>2297</v>
      </c>
      <c r="C28" s="38" t="s">
        <v>2298</v>
      </c>
      <c r="D28" s="29" t="s">
        <v>2299</v>
      </c>
      <c r="E28" s="29" t="s">
        <v>2300</v>
      </c>
      <c r="F28" s="29" t="s">
        <v>2301</v>
      </c>
      <c r="H28" s="29" t="s">
        <v>2144</v>
      </c>
    </row>
    <row r="29" spans="1:8" ht="35.25" customHeight="1">
      <c r="A29" s="27" t="s">
        <v>2302</v>
      </c>
      <c r="B29" s="27" t="s">
        <v>2303</v>
      </c>
      <c r="C29" s="37" t="s">
        <v>2304</v>
      </c>
      <c r="D29" s="27" t="s">
        <v>2305</v>
      </c>
      <c r="E29" s="27" t="s">
        <v>2306</v>
      </c>
      <c r="F29" s="27" t="s">
        <v>2307</v>
      </c>
      <c r="H29" s="27" t="s">
        <v>2144</v>
      </c>
    </row>
    <row r="30" spans="1:8" ht="35.25" customHeight="1">
      <c r="A30" s="29" t="s">
        <v>2308</v>
      </c>
      <c r="B30" s="29" t="s">
        <v>2309</v>
      </c>
      <c r="C30" s="38" t="s">
        <v>2310</v>
      </c>
      <c r="D30" s="29" t="s">
        <v>2311</v>
      </c>
      <c r="E30" s="29" t="s">
        <v>1891</v>
      </c>
      <c r="F30" s="29" t="s">
        <v>2312</v>
      </c>
      <c r="H30" s="29" t="s">
        <v>2144</v>
      </c>
    </row>
  </sheetData>
  <autoFilter ref="A4:H30"/>
  <mergeCells count="2">
    <mergeCell ref="A1:H1"/>
    <mergeCell ref="A2:H2"/>
  </mergeCells>
  <hyperlinks>
    <hyperlink ref="A3" location="'Cover Page'!A1" display="← Cover Page"/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  <hyperlink ref="C13" r:id="rId9"/>
    <hyperlink ref="C14" r:id="rId10"/>
    <hyperlink ref="C15" r:id="rId11"/>
    <hyperlink ref="C16" r:id="rId12"/>
    <hyperlink ref="C17" r:id="rId13"/>
    <hyperlink ref="C18" r:id="rId14"/>
    <hyperlink ref="C19" r:id="rId15"/>
    <hyperlink ref="C20" r:id="rId16"/>
    <hyperlink ref="C21" r:id="rId17"/>
    <hyperlink ref="C22" r:id="rId18"/>
    <hyperlink ref="C23" r:id="rId19"/>
    <hyperlink ref="C24" r:id="rId20"/>
    <hyperlink ref="C25" r:id="rId21"/>
    <hyperlink ref="C26" r:id="rId22"/>
    <hyperlink ref="C27" r:id="rId23"/>
    <hyperlink ref="C28" r:id="rId24"/>
    <hyperlink ref="C29" r:id="rId25"/>
    <hyperlink ref="C30" r:id="rId26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87E8B"/>
    <pageSetUpPr fitToPage="1"/>
  </sheetPr>
  <dimension ref="A1:C22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38.7109375" customWidth="1"/>
    <col min="3" max="3" width="115.7109375" customWidth="1"/>
  </cols>
  <sheetData>
    <row r="1" spans="1:3" ht="36" customHeight="1">
      <c r="A1" s="7" t="s">
        <v>2313</v>
      </c>
      <c r="B1" s="7"/>
      <c r="C1" s="7"/>
    </row>
    <row r="2" spans="1:3" ht="36" customHeight="1">
      <c r="A2" s="8" t="s">
        <v>2314</v>
      </c>
      <c r="B2" s="8"/>
      <c r="C2" s="8"/>
    </row>
    <row r="3" spans="1:3">
      <c r="A3" s="9" t="s">
        <v>79</v>
      </c>
    </row>
    <row r="4" spans="1:3" ht="33.75" customHeight="1">
      <c r="A4" s="26" t="s">
        <v>142</v>
      </c>
      <c r="B4" s="26" t="s">
        <v>1987</v>
      </c>
      <c r="C4" s="26" t="s">
        <v>2315</v>
      </c>
    </row>
    <row r="5" spans="1:3" ht="45.75" customHeight="1">
      <c r="A5" s="27" t="s">
        <v>2316</v>
      </c>
      <c r="B5" s="27" t="s">
        <v>2317</v>
      </c>
      <c r="C5" s="27" t="s">
        <v>2318</v>
      </c>
    </row>
    <row r="6" spans="1:3" ht="45.75" customHeight="1">
      <c r="A6" s="29" t="s">
        <v>2319</v>
      </c>
      <c r="B6" s="29" t="s">
        <v>2320</v>
      </c>
      <c r="C6" s="29" t="s">
        <v>2321</v>
      </c>
    </row>
    <row r="7" spans="1:3" ht="45.75" customHeight="1">
      <c r="A7" s="27" t="s">
        <v>2322</v>
      </c>
      <c r="B7" s="27" t="s">
        <v>2323</v>
      </c>
      <c r="C7" s="27" t="s">
        <v>2324</v>
      </c>
    </row>
    <row r="8" spans="1:3" ht="45.75" customHeight="1">
      <c r="A8" s="29" t="s">
        <v>2325</v>
      </c>
      <c r="B8" s="29" t="s">
        <v>2326</v>
      </c>
      <c r="C8" s="29" t="s">
        <v>2327</v>
      </c>
    </row>
    <row r="9" spans="1:3" ht="45.75" customHeight="1">
      <c r="A9" s="27" t="s">
        <v>2328</v>
      </c>
      <c r="B9" s="27" t="s">
        <v>414</v>
      </c>
      <c r="C9" s="27" t="s">
        <v>2329</v>
      </c>
    </row>
    <row r="10" spans="1:3" ht="45.75" customHeight="1">
      <c r="A10" s="29" t="s">
        <v>2330</v>
      </c>
      <c r="B10" s="29" t="s">
        <v>2331</v>
      </c>
      <c r="C10" s="29" t="s">
        <v>2332</v>
      </c>
    </row>
    <row r="11" spans="1:3" ht="45.75" customHeight="1">
      <c r="A11" s="27" t="s">
        <v>2333</v>
      </c>
      <c r="B11" s="27" t="s">
        <v>2334</v>
      </c>
      <c r="C11" s="27" t="s">
        <v>2335</v>
      </c>
    </row>
    <row r="12" spans="1:3" ht="45.75" customHeight="1">
      <c r="A12" s="29" t="s">
        <v>2336</v>
      </c>
      <c r="B12" s="29" t="s">
        <v>2337</v>
      </c>
      <c r="C12" s="29" t="s">
        <v>2338</v>
      </c>
    </row>
    <row r="13" spans="1:3" ht="45.75" customHeight="1">
      <c r="A13" s="27" t="s">
        <v>2339</v>
      </c>
      <c r="B13" s="27" t="s">
        <v>2340</v>
      </c>
      <c r="C13" s="27" t="s">
        <v>2341</v>
      </c>
    </row>
    <row r="14" spans="1:3" ht="45.75" customHeight="1">
      <c r="A14" s="29" t="s">
        <v>2342</v>
      </c>
      <c r="B14" s="29" t="s">
        <v>2343</v>
      </c>
      <c r="C14" s="29" t="s">
        <v>2344</v>
      </c>
    </row>
    <row r="15" spans="1:3" ht="45.75" customHeight="1">
      <c r="A15" s="27" t="s">
        <v>2345</v>
      </c>
      <c r="B15" s="27" t="s">
        <v>2346</v>
      </c>
      <c r="C15" s="27" t="s">
        <v>2347</v>
      </c>
    </row>
    <row r="16" spans="1:3" ht="45.75" customHeight="1">
      <c r="A16" s="29" t="s">
        <v>2348</v>
      </c>
      <c r="B16" s="29" t="s">
        <v>2349</v>
      </c>
      <c r="C16" s="29" t="s">
        <v>2350</v>
      </c>
    </row>
    <row r="17" spans="1:3" ht="45.75" customHeight="1">
      <c r="A17" s="27" t="s">
        <v>2351</v>
      </c>
      <c r="B17" s="27" t="s">
        <v>2352</v>
      </c>
      <c r="C17" s="27" t="s">
        <v>2353</v>
      </c>
    </row>
    <row r="18" spans="1:3" ht="45.75" customHeight="1">
      <c r="A18" s="29" t="s">
        <v>2354</v>
      </c>
      <c r="B18" s="29" t="s">
        <v>2355</v>
      </c>
      <c r="C18" s="29" t="s">
        <v>2356</v>
      </c>
    </row>
    <row r="19" spans="1:3" ht="45.75" customHeight="1">
      <c r="A19" s="27" t="s">
        <v>2357</v>
      </c>
      <c r="B19" s="27" t="s">
        <v>2358</v>
      </c>
      <c r="C19" s="27" t="s">
        <v>2359</v>
      </c>
    </row>
    <row r="20" spans="1:3" ht="45.75" customHeight="1">
      <c r="A20" s="29" t="s">
        <v>2360</v>
      </c>
      <c r="B20" s="29" t="s">
        <v>2361</v>
      </c>
      <c r="C20" s="29" t="s">
        <v>2362</v>
      </c>
    </row>
    <row r="21" spans="1:3" ht="45.75" customHeight="1">
      <c r="A21" s="27" t="s">
        <v>2363</v>
      </c>
      <c r="B21" s="27" t="s">
        <v>2364</v>
      </c>
      <c r="C21" s="27" t="s">
        <v>2365</v>
      </c>
    </row>
    <row r="22" spans="1:3" ht="45.75" customHeight="1">
      <c r="A22" s="29" t="s">
        <v>2366</v>
      </c>
      <c r="B22" s="29" t="s">
        <v>2367</v>
      </c>
      <c r="C22" s="29" t="s">
        <v>2368</v>
      </c>
    </row>
  </sheetData>
  <autoFilter ref="A4:C22"/>
  <mergeCells count="2">
    <mergeCell ref="A1:C1"/>
    <mergeCell ref="A2:C2"/>
  </mergeCells>
  <hyperlinks>
    <hyperlink ref="A3" location="'Cover Page'!A1" display="← Cover Page"/>
  </hyperlinks>
  <pageMargins left="0.7" right="0.7" top="0.75" bottom="0.75" header="0.3" footer="0.3"/>
  <pageSetup paperSize="8" fitToHeight="0" orientation="landscape"/>
  <headerFooter>
    <oddFooter>&amp;CSenticRAG | Kế hoạch triển khai |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Cover Page</vt:lpstr>
      <vt:lpstr>Milestones</vt:lpstr>
      <vt:lpstr>Milestone Details</vt:lpstr>
      <vt:lpstr>WBS</vt:lpstr>
      <vt:lpstr>Task Details</vt:lpstr>
      <vt:lpstr>Capacity</vt:lpstr>
      <vt:lpstr>Module Catalog</vt:lpstr>
      <vt:lpstr>IO Contracts</vt:lpstr>
      <vt:lpstr>Proposal Traceability</vt:lpstr>
      <vt:lpstr>Acceptance Gates</vt:lpstr>
      <vt:lpstr>Data Plan</vt:lpstr>
      <vt:lpstr>Tech Stack</vt:lpstr>
      <vt:lpstr>Decisions</vt:lpstr>
      <vt:lpstr>Extensions</vt:lpstr>
      <vt:lpstr>Source Register</vt:lpstr>
      <vt:lpstr>Notes</vt:lpstr>
      <vt:lpstr>'Cover Page'!Print_Area</vt:lpstr>
      <vt:lpstr>'Acceptance Gates'!Print_Titles</vt:lpstr>
      <vt:lpstr>Capacity!Print_Titles</vt:lpstr>
      <vt:lpstr>'Data Plan'!Print_Titles</vt:lpstr>
      <vt:lpstr>Decisions!Print_Titles</vt:lpstr>
      <vt:lpstr>Extensions!Print_Titles</vt:lpstr>
      <vt:lpstr>'IO Contracts'!Print_Titles</vt:lpstr>
      <vt:lpstr>'Milestone Details'!Print_Titles</vt:lpstr>
      <vt:lpstr>Milestones!Print_Titles</vt:lpstr>
      <vt:lpstr>'Module Catalog'!Print_Titles</vt:lpstr>
      <vt:lpstr>Notes!Print_Titles</vt:lpstr>
      <vt:lpstr>'Proposal Traceability'!Print_Titles</vt:lpstr>
      <vt:lpstr>'Source Register'!Print_Titles</vt:lpstr>
      <vt:lpstr>'Task Details'!Print_Titles</vt:lpstr>
      <vt:lpstr>'Tech Stack'!Print_Titles</vt:lpstr>
      <vt:lpstr>WBS!Print_Titles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SenticRAG — Milestone 14 tuần</dc:title>
  <dc:creator>Trần Đình Khương</dc:creator>
  <dc:description>Bản xuất lại dùng shared strings và bảng tổng quan hiển thị ngay.</dc:description>
  <cp:lastModifiedBy>Trần Đình Khương</cp:lastModifiedBy>
  <dcterms:created xsi:type="dcterms:W3CDTF">2026-10-23T03:50:04Z</dcterms:created>
  <dcterms:modified xsi:type="dcterms:W3CDTF">2026-10-23T03:50:04Z</dcterms:modified>
</cp:coreProperties>
</file>