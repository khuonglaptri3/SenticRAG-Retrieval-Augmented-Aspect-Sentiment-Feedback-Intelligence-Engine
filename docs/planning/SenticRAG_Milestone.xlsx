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Milestones" sheetId="2" state="visible" r:id="rId2"/>
    <sheet xmlns:r="http://schemas.openxmlformats.org/officeDocument/2006/relationships" name="Milestone Details" sheetId="3" state="visible" r:id="rId3"/>
    <sheet xmlns:r="http://schemas.openxmlformats.org/officeDocument/2006/relationships" name="WBS" sheetId="4" state="visible" r:id="rId4"/>
    <sheet xmlns:r="http://schemas.openxmlformats.org/officeDocument/2006/relationships" name="Task Details" sheetId="5" state="visible" r:id="rId5"/>
    <sheet xmlns:r="http://schemas.openxmlformats.org/officeDocument/2006/relationships" name="Capacity" sheetId="6" state="visible" r:id="rId6"/>
    <sheet xmlns:r="http://schemas.openxmlformats.org/officeDocument/2006/relationships" name="Module Catalog" sheetId="7" state="visible" r:id="rId7"/>
    <sheet xmlns:r="http://schemas.openxmlformats.org/officeDocument/2006/relationships" name="IO Contracts" sheetId="8" state="visible" r:id="rId8"/>
    <sheet xmlns:r="http://schemas.openxmlformats.org/officeDocument/2006/relationships" name="Proposal Traceability" sheetId="9" state="visible" r:id="rId9"/>
    <sheet xmlns:r="http://schemas.openxmlformats.org/officeDocument/2006/relationships" name="Acceptance Gates" sheetId="10" state="visible" r:id="rId10"/>
    <sheet xmlns:r="http://schemas.openxmlformats.org/officeDocument/2006/relationships" name="Data Plan" sheetId="11" state="visible" r:id="rId11"/>
    <sheet xmlns:r="http://schemas.openxmlformats.org/officeDocument/2006/relationships" name="Tech Stack" sheetId="12" state="visible" r:id="rId12"/>
    <sheet xmlns:r="http://schemas.openxmlformats.org/officeDocument/2006/relationships" name="Decisions" sheetId="13" state="visible" r:id="rId13"/>
    <sheet xmlns:r="http://schemas.openxmlformats.org/officeDocument/2006/relationships" name="Extensions" sheetId="14" state="visible" r:id="rId14"/>
    <sheet xmlns:r="http://schemas.openxmlformats.org/officeDocument/2006/relationships" name="Source Register" sheetId="15" state="visible" r:id="rId15"/>
    <sheet xmlns:r="http://schemas.openxmlformats.org/officeDocument/2006/relationships" name="Notes" sheetId="16" state="visible" r:id="rId16"/>
    <sheet xmlns:r="http://schemas.openxmlformats.org/officeDocument/2006/relationships" name="Plan Revision" sheetId="17" state="visible" r:id="rId17"/>
    <sheet xmlns:r="http://schemas.openxmlformats.org/officeDocument/2006/relationships" name="Architecture Audit" sheetId="18" state="visible" r:id="rId18"/>
  </sheets>
  <definedNames>
    <definedName name="_xlnm._FilterDatabase" localSheetId="0" hidden="1">'Cover Page'!$A$4:$G$13</definedName>
    <definedName name="_xlnm.Print_Area" localSheetId="0">'Cover Page'!$A$1:$G$31</definedName>
    <definedName name="_xlnm.Print_Titles" localSheetId="1">'Milestones'!$8:$10</definedName>
    <definedName name="_xlnm._FilterDatabase" localSheetId="2" hidden="1">'Milestone Details'!$A$4:$O$13</definedName>
    <definedName name="_xlnm.Print_Titles" localSheetId="2">'Milestone Details'!$4:$4</definedName>
    <definedName name="_xlnm.Print_Titles" localSheetId="3">'WBS'!$8:$10</definedName>
    <definedName name="_xlnm._FilterDatabase" localSheetId="4" hidden="1">'Task Details'!$A$4:$U$79</definedName>
    <definedName name="_xlnm.Print_Titles" localSheetId="4">'Task Details'!$4:$4</definedName>
    <definedName name="_xlnm._FilterDatabase" localSheetId="5" hidden="1">'Capacity'!$A$4:$J$18</definedName>
    <definedName name="_xlnm.Print_Titles" localSheetId="5">'Capacity'!$4:$4</definedName>
    <definedName name="_xlnm._FilterDatabase" localSheetId="6" hidden="1">'Module Catalog'!$A$4:$L$16</definedName>
    <definedName name="_xlnm.Print_Titles" localSheetId="6">'Module Catalog'!$4:$4</definedName>
    <definedName name="_xlnm._FilterDatabase" localSheetId="7" hidden="1">'IO Contracts'!$A$4:$L$19</definedName>
    <definedName name="_xlnm.Print_Titles" localSheetId="7">'IO Contracts'!$4:$4</definedName>
    <definedName name="_xlnm._FilterDatabase" localSheetId="8" hidden="1">'Proposal Traceability'!$A$4:$J$94</definedName>
    <definedName name="_xlnm.Print_Titles" localSheetId="8">'Proposal Traceability'!$4:$4</definedName>
    <definedName name="_xlnm._FilterDatabase" localSheetId="9" hidden="1">'Acceptance Gates'!$A$4:$J$31</definedName>
    <definedName name="_xlnm.Print_Titles" localSheetId="9">'Acceptance Gates'!$4:$4</definedName>
    <definedName name="_xlnm._FilterDatabase" localSheetId="10" hidden="1">'Data Plan'!$A$4:$I$16</definedName>
    <definedName name="_xlnm.Print_Titles" localSheetId="10">'Data Plan'!$4:$4</definedName>
    <definedName name="_xlnm._FilterDatabase" localSheetId="11" hidden="1">'Tech Stack'!$A$4:$G$20</definedName>
    <definedName name="_xlnm.Print_Titles" localSheetId="11">'Tech Stack'!$4:$4</definedName>
    <definedName name="_xlnm._FilterDatabase" localSheetId="12" hidden="1">'Decisions'!$A$4:$G$25</definedName>
    <definedName name="_xlnm.Print_Titles" localSheetId="12">'Decisions'!$4:$4</definedName>
    <definedName name="_xlnm._FilterDatabase" localSheetId="13" hidden="1">'Extensions'!$A$4:$H$12</definedName>
    <definedName name="_xlnm.Print_Titles" localSheetId="13">'Extensions'!$4:$4</definedName>
    <definedName name="_xlnm._FilterDatabase" localSheetId="14" hidden="1">'Source Register'!$A$4:$H$30</definedName>
    <definedName name="_xlnm.Print_Titles" localSheetId="14">'Source Register'!$4:$4</definedName>
    <definedName name="_xlnm._FilterDatabase" localSheetId="15" hidden="1">'Notes'!$A$4:$C$23</definedName>
    <definedName name="_xlnm.Print_Titles" localSheetId="15">'Notes'!$4:$4</definedName>
    <definedName name="_xlnm._FilterDatabase" localSheetId="17" hidden="1">'Architecture Audit'!$A$1:$E$14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/mm"/>
  </numFmts>
  <fonts count="16">
    <font>
      <name val="Calibri"/>
      <family val="2"/>
      <color theme="1"/>
      <sz val="11"/>
      <scheme val="minor"/>
    </font>
    <font>
      <name val="Calibri"/>
      <family val="2"/>
      <b val="1"/>
      <color rgb="FF18334B"/>
      <sz val="19"/>
      <scheme val="minor"/>
    </font>
    <font>
      <name val="Calibri"/>
      <family val="2"/>
      <color rgb="FF18334B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087E8B"/>
      <sz val="11"/>
      <u val="single"/>
      <scheme val="minor"/>
    </font>
    <font>
      <name val="Calibri"/>
      <family val="2"/>
      <b val="1"/>
      <color rgb="FFFFFFFF"/>
      <sz val="20"/>
      <scheme val="minor"/>
    </font>
    <font>
      <name val="Calibri"/>
      <family val="2"/>
      <color rgb="FF5D6B78"/>
      <sz val="11"/>
      <scheme val="minor"/>
    </font>
    <font>
      <name val="Calibri"/>
      <family val="2"/>
      <color rgb="FF087E8B"/>
      <sz val="10"/>
      <u val="single"/>
      <scheme val="minor"/>
    </font>
    <font>
      <name val="Calibri"/>
      <family val="2"/>
      <color rgb="FF18334B"/>
      <sz val="11"/>
      <scheme val="minor"/>
    </font>
    <font>
      <name val="Calibri"/>
      <family val="2"/>
      <b val="1"/>
      <color rgb="FF087E8B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5D6B78"/>
      <sz val="9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087E8B"/>
      <sz val="11"/>
      <u val="single"/>
      <scheme val="minor"/>
    </font>
    <font>
      <name val="Calibri"/>
      <family val="2"/>
      <color rgb="FF087E8B"/>
      <sz val="11"/>
      <u val="single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FF087E8B"/>
        <bgColor indexed="64"/>
      </patternFill>
    </fill>
    <fill>
      <patternFill patternType="solid">
        <fgColor rgb="FFEDF5F7"/>
        <bgColor indexed="64"/>
      </patternFill>
    </fill>
    <fill>
      <patternFill patternType="solid">
        <fgColor rgb="FF18334B"/>
        <bgColor indexed="64"/>
      </patternFill>
    </fill>
    <fill>
      <patternFill patternType="solid">
        <fgColor rgb="FFE0E5E8"/>
        <bgColor indexed="64"/>
      </patternFill>
    </fill>
    <fill>
      <patternFill patternType="solid">
        <fgColor rgb="FFE4EA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0CC"/>
        <bgColor indexed="64"/>
      </patternFill>
    </fill>
    <fill>
      <patternFill patternType="solid">
        <fgColor rgb="00087E8B"/>
      </patternFill>
    </fill>
  </fills>
  <borders count="3">
    <border>
      <left/>
      <right/>
      <top/>
      <bottom/>
      <diagonal/>
    </border>
    <border>
      <left style="thin">
        <color rgb="FFD4E0E7"/>
      </left>
      <right style="thin">
        <color rgb="FFD4E0E7"/>
      </right>
      <top style="thin">
        <color rgb="FFD4E0E7"/>
      </top>
      <bottom style="thin">
        <color rgb="FFD4E0E7"/>
      </bottom>
      <diagonal/>
    </border>
    <border>
      <left/>
      <right/>
      <top/>
      <bottom style="thin">
        <color rgb="FFD4E0E7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/>
    </xf>
    <xf numFmtId="0" fontId="3" fillId="2" borderId="1" applyAlignment="1" pivotButton="0" quotePrefix="0" xfId="0">
      <alignment vertical="center" wrapText="1"/>
    </xf>
    <xf numFmtId="0" fontId="2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10" fillId="2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top"/>
    </xf>
    <xf numFmtId="0" fontId="10" fillId="2" borderId="0" applyAlignment="1" pivotButton="0" quotePrefix="0" xfId="0">
      <alignment horizontal="center" vertical="top"/>
    </xf>
    <xf numFmtId="0" fontId="11" fillId="3" borderId="0" applyAlignment="1" pivotButton="0" quotePrefix="0" xfId="0">
      <alignment vertical="top"/>
    </xf>
    <xf numFmtId="0" fontId="11" fillId="5" borderId="0" applyAlignment="1" pivotButton="0" quotePrefix="0" xfId="0">
      <alignment vertical="top"/>
    </xf>
    <xf numFmtId="165" fontId="11" fillId="3" borderId="0" applyAlignment="1" pivotButton="0" quotePrefix="0" xfId="0">
      <alignment horizontal="center" vertical="center" textRotation="90"/>
    </xf>
    <xf numFmtId="165" fontId="11" fillId="5" borderId="0" applyAlignment="1" pivotButton="0" quotePrefix="0" xfId="0">
      <alignment horizontal="center" vertical="center" textRotation="90"/>
    </xf>
    <xf numFmtId="0" fontId="12" fillId="2" borderId="2" applyAlignment="1" pivotButton="0" quotePrefix="0" xfId="0">
      <alignment vertical="center" wrapText="1"/>
    </xf>
    <xf numFmtId="164" fontId="12" fillId="2" borderId="2" applyAlignment="1" pivotButton="0" quotePrefix="0" xfId="0">
      <alignment vertical="center" wrapText="1"/>
    </xf>
    <xf numFmtId="0" fontId="8" fillId="2" borderId="0" applyAlignment="1" pivotButton="0" quotePrefix="0" xfId="0">
      <alignment horizontal="center" vertical="center"/>
    </xf>
    <xf numFmtId="0" fontId="8" fillId="3" borderId="2" applyAlignment="1" pivotButton="0" quotePrefix="0" xfId="0">
      <alignment vertical="center" wrapText="1"/>
    </xf>
    <xf numFmtId="164" fontId="8" fillId="3" borderId="2" applyAlignment="1" pivotButton="0" quotePrefix="0" xfId="0">
      <alignment vertical="center" wrapText="1"/>
    </xf>
    <xf numFmtId="0" fontId="8" fillId="6" borderId="2" applyAlignment="1" pivotButton="0" quotePrefix="0" xfId="0">
      <alignment vertical="center" wrapText="1"/>
    </xf>
    <xf numFmtId="0" fontId="8" fillId="6" borderId="0" applyAlignment="1" pivotButton="0" quotePrefix="0" xfId="0">
      <alignment horizontal="center" vertical="center"/>
    </xf>
    <xf numFmtId="0" fontId="12" fillId="2" borderId="0" applyAlignment="1" pivotButton="0" quotePrefix="0" xfId="0">
      <alignment vertical="center" wrapText="1"/>
    </xf>
    <xf numFmtId="0" fontId="8" fillId="7" borderId="2" applyAlignment="1" pivotButton="0" quotePrefix="0" xfId="0">
      <alignment vertical="top" wrapText="1"/>
    </xf>
    <xf numFmtId="164" fontId="8" fillId="7" borderId="2" applyAlignment="1" pivotButton="0" quotePrefix="0" xfId="0">
      <alignment vertical="top" wrapText="1"/>
    </xf>
    <xf numFmtId="0" fontId="8" fillId="3" borderId="2" applyAlignment="1" pivotButton="0" quotePrefix="0" xfId="0">
      <alignment vertical="top" wrapText="1"/>
    </xf>
    <xf numFmtId="164" fontId="8" fillId="3" borderId="2" applyAlignment="1" pivotButton="0" quotePrefix="0" xfId="0">
      <alignment vertical="top" wrapText="1"/>
    </xf>
    <xf numFmtId="0" fontId="8" fillId="7" borderId="2" applyAlignment="1" pivotButton="0" quotePrefix="0" xfId="0">
      <alignment vertical="center" wrapText="1"/>
    </xf>
    <xf numFmtId="164" fontId="8" fillId="7" borderId="2" applyAlignment="1" pivotButton="0" quotePrefix="0" xfId="0">
      <alignment vertical="center" wrapText="1"/>
    </xf>
    <xf numFmtId="0" fontId="8" fillId="8" borderId="2" applyAlignment="1" pivotButton="0" quotePrefix="0" xfId="0">
      <alignment vertical="center" wrapText="1"/>
    </xf>
    <xf numFmtId="0" fontId="8" fillId="8" borderId="0" applyAlignment="1" pivotButton="0" quotePrefix="0" xfId="0">
      <alignment horizontal="center" vertical="center"/>
    </xf>
    <xf numFmtId="0" fontId="13" fillId="7" borderId="2" applyAlignment="1" pivotButton="0" quotePrefix="0" xfId="0">
      <alignment vertical="top" wrapText="1"/>
    </xf>
    <xf numFmtId="0" fontId="13" fillId="3" borderId="2" applyAlignment="1" pivotButton="0" quotePrefix="0" xfId="0">
      <alignment vertical="top" wrapText="1"/>
    </xf>
    <xf numFmtId="0" fontId="14" fillId="7" borderId="2" applyAlignment="1" pivotButton="0" quotePrefix="0" xfId="0">
      <alignment vertical="top" wrapText="1"/>
    </xf>
    <xf numFmtId="0" fontId="14" fillId="3" borderId="2" applyAlignment="1" pivotButton="0" quotePrefix="0" xfId="0">
      <alignment vertical="top" wrapText="1"/>
    </xf>
    <xf numFmtId="0" fontId="0" fillId="0" borderId="2" pivotButton="0" quotePrefix="0" xfId="0"/>
    <xf numFmtId="0" fontId="15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dxfs count="6">
    <dxf>
      <font>
        <color rgb="FF18334B"/>
      </font>
      <fill>
        <patternFill>
          <bgColor rgb="FFE4EAF0"/>
        </patternFill>
      </fill>
    </dxf>
    <dxf>
      <font>
        <color rgb="FF18334B"/>
      </font>
      <fill>
        <patternFill>
          <bgColor rgb="FFDCEBFF"/>
        </patternFill>
      </fill>
    </dxf>
    <dxf>
      <font>
        <color rgb="FF18334B"/>
      </font>
      <fill>
        <patternFill>
          <bgColor rgb="FFC8EAD9"/>
        </patternFill>
      </fill>
    </dxf>
    <dxf>
      <font>
        <color rgb="FF18334B"/>
      </font>
      <fill>
        <patternFill>
          <bgColor rgb="FFF8D4D4"/>
        </patternFill>
      </fill>
    </dxf>
    <dxf>
      <font>
        <color rgb="FF18334B"/>
      </font>
      <fill>
        <patternFill>
          <bgColor rgb="FFEADFF3"/>
        </patternFill>
      </fill>
    </dxf>
    <dxf>
      <font>
        <color rgb="FF18334B"/>
      </font>
      <fill>
        <patternFill>
          <bgColor rgb="FFFFF0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hyperlink" Target="..\..\README.md" TargetMode="External" Id="rId1"/><Relationship Type="http://schemas.openxmlformats.org/officeDocument/2006/relationships/hyperlink" Target="..\architecture\Final_project_rewritten.md" TargetMode="External" Id="rId2"/><Relationship Type="http://schemas.openxmlformats.org/officeDocument/2006/relationships/hyperlink" Target="..\product\user-stories.md" TargetMode="External" Id="rId3"/><Relationship Type="http://schemas.openxmlformats.org/officeDocument/2006/relationships/hyperlink" Target="..\product\acceptance-criteria.md" TargetMode="External" Id="rId4"/><Relationship Type="http://schemas.openxmlformats.org/officeDocument/2006/relationships/hyperlink" Target="..\architecture\ARCHITECTURE.md" TargetMode="External" Id="rId5"/><Relationship Type="http://schemas.openxmlformats.org/officeDocument/2006/relationships/hyperlink" Target="..\reports\production-data-specification.md" TargetMode="External" Id="rId6"/><Relationship Type="http://schemas.openxmlformats.org/officeDocument/2006/relationships/hyperlink" Target="..\reports\deep-research-report.md" TargetMode="External" Id="rId7"/><Relationship Type="http://schemas.openxmlformats.org/officeDocument/2006/relationships/hyperlink" Target="..\ontology\ontology-schema.md" TargetMode="External" Id="rId8"/><Relationship Type="http://schemas.openxmlformats.org/officeDocument/2006/relationships/hyperlink" Target="..\product\capability-map.md" TargetMode="External" Id="rId9"/><Relationship Type="http://schemas.openxmlformats.org/officeDocument/2006/relationships/hyperlink" Target="..\..\Data_crawling\README.md" TargetMode="External" Id="rId10"/><Relationship Type="http://schemas.openxmlformats.org/officeDocument/2006/relationships/hyperlink" Target="..\..\Data_crawling\docs\design.md" TargetMode="External" Id="rId11"/><Relationship Type="http://schemas.openxmlformats.org/officeDocument/2006/relationships/hyperlink" Target="..\..\Data_crawling\docs\implementation-plan.md" TargetMode="External" Id="rId12"/><Relationship Type="http://schemas.openxmlformats.org/officeDocument/2006/relationships/hyperlink" Target="..\..\Data_crawling\docs\verification.md" TargetMode="External" Id="rId13"/><Relationship Type="http://schemas.openxmlformats.org/officeDocument/2006/relationships/hyperlink" Target="..\..\apps\agent_workspace\README.md" TargetMode="External" Id="rId14"/><Relationship Type="http://schemas.openxmlformats.org/officeDocument/2006/relationships/hyperlink" Target="..\..\apps\analyst_dashboard\README.md" TargetMode="External" Id="rId15"/><Relationship Type="http://schemas.openxmlformats.org/officeDocument/2006/relationships/hyperlink" Target="..\..\apps\worker\README.md" TargetMode="External" Id="rId16"/><Relationship Type="http://schemas.openxmlformats.org/officeDocument/2006/relationships/hyperlink" Target="..\..\artifacts\README.md" TargetMode="External" Id="rId17"/><Relationship Type="http://schemas.openxmlformats.org/officeDocument/2006/relationships/hyperlink" Target="..\..\apps\api\app\main.py" TargetMode="External" Id="rId18"/><Relationship Type="http://schemas.openxmlformats.org/officeDocument/2006/relationships/hyperlink" Target="..\..\packages\data_contracts\__init__.py" TargetMode="External" Id="rId19"/><Relationship Type="http://schemas.openxmlformats.org/officeDocument/2006/relationships/hyperlink" Target="..\..\pyproject.toml" TargetMode="External" Id="rId20"/><Relationship Type="http://schemas.openxmlformats.org/officeDocument/2006/relationships/hyperlink" Target="..\..\infra\compose\docker-compose.yml" TargetMode="External" Id="rId21"/><Relationship Type="http://schemas.openxmlformats.org/officeDocument/2006/relationships/hyperlink" Target="https://github.com/khuonglaptri3/qpaf-visual-document-retrieval/blob/feature/m3-6-integrity-review/docs/GUILDLINE_OVERVIEWS_PROPOSAL/POAI_Milestone_Group01_Hoan_Chinh.xlsx" TargetMode="External" Id="rId22"/><Relationship Type="http://schemas.openxmlformats.org/officeDocument/2006/relationships/hyperlink" Target="https://fastapi.tiangolo.com/" TargetMode="External" Id="rId23"/><Relationship Type="http://schemas.openxmlformats.org/officeDocument/2006/relationships/hyperlink" Target="https://qdrant.tech/documentation/search/hybrid-queries/" TargetMode="External" Id="rId24"/><Relationship Type="http://schemas.openxmlformats.org/officeDocument/2006/relationships/hyperlink" Target="https://neo4j.com/docs/cypher-manual/current/schema/constraints/" TargetMode="External" Id="rId25"/><Relationship Type="http://schemas.openxmlformats.org/officeDocument/2006/relationships/hyperlink" Target="https://react.dev/learn/typescript" TargetMode="External" Id="rId26"/></Relationships>
</file>

<file path=xl/worksheets/_rels/sheet16.xml.rels><Relationships xmlns="http://schemas.openxmlformats.org/package/2006/relationships"><Relationship Type="http://schemas.openxmlformats.org/officeDocument/2006/relationships/hyperlink" Target="SenticRAG_Resources_and_Deployment.md" TargetMode="External" Id="rId1"/></Relationships>
</file>

<file path=xl/worksheets/sheet1.xml><?xml version="1.0" encoding="utf-8"?>
<worksheet xmlns="http://schemas.openxmlformats.org/spreadsheetml/2006/main">
  <sheetPr>
    <tabColor rgb="FF087E8B"/>
    <outlinePr summaryBelow="1" summaryRight="1"/>
    <pageSetUpPr fitToPage="1"/>
  </sheetPr>
  <dimension ref="A1:G31"/>
  <sheetViews>
    <sheetView showGridLines="0" tabSelected="1" zoomScale="85" zoomScaleNormal="85" workbookViewId="0">
      <selection activeCell="A1" sqref="A1"/>
    </sheetView>
  </sheetViews>
  <sheetFormatPr baseColWidth="8" defaultRowHeight="15"/>
  <cols>
    <col width="11.7109375" customWidth="1" min="1" max="1"/>
    <col width="42.7109375" customWidth="1" min="2" max="2"/>
    <col width="15.7109375" customWidth="1" min="3" max="4"/>
    <col width="70.7109375" customWidth="1" min="5" max="5"/>
    <col width="13.7109375" customWidth="1" min="6" max="7"/>
  </cols>
  <sheetData>
    <row r="1" ht="32.25" customHeight="1">
      <c r="A1" s="1" t="inlineStr">
        <is>
          <t>SENTICRAG</t>
        </is>
      </c>
      <c r="B1" s="1" t="inlineStr">
        <is>
          <t>Kế hoạch 14 tuần — 1 người</t>
        </is>
      </c>
    </row>
    <row r="2" ht="32.25" customHeight="1">
      <c r="A2" s="2" t="inlineStr">
        <is>
          <t>Bắt đầu</t>
        </is>
      </c>
      <c r="B2" s="3" t="n">
        <v>46321</v>
      </c>
      <c r="C2" s="2" t="inlineStr">
        <is>
          <t>Bàn giao</t>
        </is>
      </c>
      <c r="D2" s="3" t="n">
        <v>46416</v>
      </c>
      <c r="E2" s="2" t="inlineStr">
        <is>
          <t>Chatbot trước • 75 dòng công việc • đầy đủ input/output, module và công nghệ</t>
        </is>
      </c>
    </row>
    <row r="4" ht="32.25" customHeight="1">
      <c r="A4" s="4" t="inlineStr">
        <is>
          <t>Mốc</t>
        </is>
      </c>
      <c r="B4" s="4" t="inlineStr">
        <is>
          <t>Giai đoạn</t>
        </is>
      </c>
      <c r="C4" s="4" t="inlineStr">
        <is>
          <t>Bắt đầu</t>
        </is>
      </c>
      <c r="D4" s="4" t="inlineStr">
        <is>
          <t>Kết thúc</t>
        </is>
      </c>
      <c r="E4" s="4" t="inlineStr">
        <is>
          <t>Kết quả cần bàn giao</t>
        </is>
      </c>
      <c r="F4" s="4" t="inlineStr">
        <is>
          <t>Tuần</t>
        </is>
      </c>
      <c r="G4" s="4" t="inlineStr">
        <is>
          <t>Gate</t>
        </is>
      </c>
    </row>
    <row r="5" ht="78" customHeight="1">
      <c r="A5" s="5" t="inlineStr">
        <is>
          <t>M0</t>
        </is>
      </c>
      <c r="B5" s="5" t="inlineStr">
        <is>
          <t>Thiết kế chatbot và khóa phạm vi</t>
        </is>
      </c>
      <c r="C5" s="3" t="n">
        <v>46321</v>
      </c>
      <c r="D5" s="3" t="n">
        <v>46325</v>
      </c>
      <c r="E5" s="5" t="inlineStr">
        <is>
          <t>Thiết kế chatbot, contract v1, wireframe, backlog, quyết định kỹ thuật và bộ kịch bản nghiệm thu.</t>
        </is>
      </c>
      <c r="F5" s="5" t="inlineStr">
        <is>
          <t>W1–W1</t>
        </is>
      </c>
      <c r="G5" s="5" t="inlineStr">
        <is>
          <t>G0</t>
        </is>
      </c>
    </row>
    <row r="6" ht="78" customHeight="1">
      <c r="A6" s="2" t="inlineStr">
        <is>
          <t>M1</t>
        </is>
      </c>
      <c r="B6" s="2" t="inlineStr">
        <is>
          <t>Chuẩn hóa dữ liệu chính sách cho chatbot</t>
        </is>
      </c>
      <c r="C6" s="3" t="n">
        <v>46328</v>
      </c>
      <c r="D6" s="3" t="n">
        <v>46332</v>
      </c>
      <c r="E6" s="2" t="inlineStr">
        <is>
          <t>PolicyDocument/PolicyChunk đã duyệt; catalog nguồn; ingest report; policy-QA và privacy fixtures.</t>
        </is>
      </c>
      <c r="F6" s="2" t="inlineStr">
        <is>
          <t>W2–W2</t>
        </is>
      </c>
      <c r="G6" s="2" t="inlineStr">
        <is>
          <t>G1</t>
        </is>
      </c>
    </row>
    <row r="7" ht="78" customHeight="1">
      <c r="A7" s="5" t="inlineStr">
        <is>
          <t>M2</t>
        </is>
      </c>
      <c r="B7" s="5" t="inlineStr">
        <is>
          <t>Chatbot RAG đầu tiên chạy xuyên suốt</t>
        </is>
      </c>
      <c r="C7" s="3" t="n">
        <v>46335</v>
      </c>
      <c r="D7" s="3" t="n">
        <v>46346</v>
      </c>
      <c r="E7" s="5" t="inlineStr">
        <is>
          <t>Chat UI + API + history + retrieval + grounded generation; Docker demo; báo cáo benchmark ban đầu.</t>
        </is>
      </c>
      <c r="F7" s="5" t="inlineStr">
        <is>
          <t>W3–W4</t>
        </is>
      </c>
      <c r="G7" s="5" t="inlineStr">
        <is>
          <t>G2</t>
        </is>
      </c>
    </row>
    <row r="8" ht="78" customHeight="1">
      <c r="A8" s="2" t="inlineStr">
        <is>
          <t>M3</t>
        </is>
      </c>
      <c r="B8" s="2" t="inlineStr">
        <is>
          <t>Chatbot theo đơn hàng và Copilot CSKH</t>
        </is>
      </c>
      <c r="C8" s="3" t="n">
        <v>46349</v>
      </c>
      <c r="D8" s="3" t="n">
        <v>46360</v>
      </c>
      <c r="E8" s="2" t="inlineStr">
        <is>
          <t>Policy engine + customer tools + FSM + Agent Workspace; ticket/action/outcome và phản hồi được lưu.</t>
        </is>
      </c>
      <c r="F8" s="2" t="inlineStr">
        <is>
          <t>W5–W6</t>
        </is>
      </c>
      <c r="G8" s="2" t="inlineStr">
        <is>
          <t>G3</t>
        </is>
      </c>
    </row>
    <row r="9" ht="78" customHeight="1">
      <c r="A9" s="5" t="inlineStr">
        <is>
          <t>M4</t>
        </is>
      </c>
      <c r="B9" s="5" t="inlineStr">
        <is>
          <t>ABSA và ingestion toàn corpus</t>
        </is>
      </c>
      <c r="C9" s="3" t="n">
        <v>46363</v>
      </c>
      <c r="D9" s="3" t="n">
        <v>46374</v>
      </c>
      <c r="E9" s="5" t="inlineStr">
        <is>
          <t>Baseline + candidate ABSA, report, model card; predictions có version; async worker + router; triage tự động.</t>
        </is>
      </c>
      <c r="F9" s="5" t="inlineStr">
        <is>
          <t>W7–W8</t>
        </is>
      </c>
      <c r="G9" s="5" t="inlineStr">
        <is>
          <t>G4</t>
        </is>
      </c>
    </row>
    <row r="10" ht="78" customHeight="1">
      <c r="A10" s="2" t="inlineStr">
        <is>
          <t>M5</t>
        </is>
      </c>
      <c r="B10" s="2" t="inlineStr">
        <is>
          <t>Dashboard toàn corpus và điều tra bằng evidence</t>
        </is>
      </c>
      <c r="C10" s="3" t="n">
        <v>46377</v>
      </c>
      <c r="D10" s="3" t="n">
        <v>46381</v>
      </c>
      <c r="E10" s="2" t="inlineStr">
        <is>
          <t>Analyst/PM dashboard, population/denominator, anomaly alert, drill-down giữ nguyên filters, benchmark review retrieval.</t>
        </is>
      </c>
      <c r="F10" s="2" t="inlineStr">
        <is>
          <t>W9–W9</t>
        </is>
      </c>
      <c r="G10" s="2" t="inlineStr">
        <is>
          <t>G5</t>
        </is>
      </c>
    </row>
    <row r="11" ht="78" customHeight="1">
      <c r="A11" s="5" t="inlineStr">
        <is>
          <t>M6</t>
        </is>
      </c>
      <c r="B11" s="5" t="inlineStr">
        <is>
          <t>GraphRAG và quản trị tri thức</t>
        </is>
      </c>
      <c r="C11" s="3" t="n">
        <v>46384</v>
      </c>
      <c r="D11" s="3" t="n">
        <v>46395</v>
      </c>
      <c r="E11" s="5" t="inlineStr">
        <is>
          <t>Ontology v1 + Neo4j + graph traversal; analyst/steward UI; knowledge publish/rollback; chatbot có evidence graph.</t>
        </is>
      </c>
      <c r="F11" s="5" t="inlineStr">
        <is>
          <t>W10–W11</t>
        </is>
      </c>
      <c r="G11" s="5" t="inlineStr">
        <is>
          <t>G6</t>
        </is>
      </c>
    </row>
    <row r="12" ht="78" customHeight="1">
      <c r="A12" s="2" t="inlineStr">
        <is>
          <t>M7</t>
        </is>
      </c>
      <c r="B12" s="2" t="inlineStr">
        <is>
          <t>Closed-loop feedback và cải thiện mô hình</t>
        </is>
      </c>
      <c r="C12" s="3" t="n">
        <v>46398</v>
      </c>
      <c r="D12" s="3" t="n">
        <v>46402</v>
      </c>
      <c r="E12" s="2" t="inlineStr">
        <is>
          <t>Versioned annotation datasets; active-learning queue; một retraining/eval cycle; drift monitors và publish decision.</t>
        </is>
      </c>
      <c r="F12" s="2" t="inlineStr">
        <is>
          <t>W12–W12</t>
        </is>
      </c>
      <c r="G12" s="2" t="inlineStr">
        <is>
          <t>G7</t>
        </is>
      </c>
    </row>
    <row r="13" ht="78" customHeight="1">
      <c r="A13" s="5" t="inlineStr">
        <is>
          <t>M8</t>
        </is>
      </c>
      <c r="B13" s="5" t="inlineStr">
        <is>
          <t>Tích hợp, vận hành và bàn giao</t>
        </is>
      </c>
      <c r="C13" s="3" t="n">
        <v>46405</v>
      </c>
      <c r="D13" s="3" t="n">
        <v>46416</v>
      </c>
      <c r="E13" s="5" t="inlineStr">
        <is>
          <t>Release bundle, 5 UAT demos, eval suite, deploy/IaC package, runbooks, rollback evidence và coverage ledger.</t>
        </is>
      </c>
      <c r="F13" s="5" t="inlineStr">
        <is>
          <t>W13–W14</t>
        </is>
      </c>
      <c r="G13" s="5" t="inlineStr">
        <is>
          <t>G8</t>
        </is>
      </c>
    </row>
    <row r="15" ht="30" customHeight="1">
      <c r="B15" s="1" t="inlineStr">
        <is>
          <t>Mở các sheet chi tiết bên dưới:</t>
        </is>
      </c>
    </row>
    <row r="16" ht="45.75" customHeight="1">
      <c r="E16" s="5" t="inlineStr">
        <is>
          <t>Mục tiêu: chatbot RAG đầu tiên chạy được cuối tuần 4 — 20/11/2026.</t>
        </is>
      </c>
    </row>
    <row r="17" ht="24" customHeight="1">
      <c r="B17" s="6" t="inlineStr">
        <is>
          <t>Milestones</t>
        </is>
      </c>
    </row>
    <row r="18" ht="45.75" customHeight="1">
      <c r="B18" s="6" t="inlineStr">
        <is>
          <t>Milestone Details</t>
        </is>
      </c>
      <c r="E18" s="2" t="inlineStr">
        <is>
          <t>60 ngày công + 9 ngày dự phòng + 1 ngày nghỉ dự kiến 01/01. Các công việc xếp nối tiếp cho một người.</t>
        </is>
      </c>
    </row>
    <row r="19" ht="24" customHeight="1">
      <c r="B19" s="6" t="inlineStr">
        <is>
          <t>WBS</t>
        </is>
      </c>
    </row>
    <row r="20" ht="45.75" customHeight="1">
      <c r="B20" s="6" t="inlineStr">
        <is>
          <t>Task Details</t>
        </is>
      </c>
      <c r="E20" s="2" t="inlineStr">
        <is>
          <t>Xem Task Details để đọc input, các bước làm, output, công nghệ và điều kiện hoàn thành từng task.</t>
        </is>
      </c>
    </row>
    <row r="21" ht="24" customHeight="1">
      <c r="B21" s="6" t="inlineStr">
        <is>
          <t>Capacity</t>
        </is>
      </c>
    </row>
    <row r="22" ht="45.75" customHeight="1">
      <c r="B22" s="6" t="inlineStr">
        <is>
          <t>Module Catalog</t>
        </is>
      </c>
      <c r="E22" s="2" t="inlineStr">
        <is>
          <t>Chỉnh Task Status tại WBS, cột J. Những sheet khác lấy trạng thái từ WBS.</t>
        </is>
      </c>
    </row>
    <row r="23" ht="24" customHeight="1">
      <c r="B23" s="6" t="inlineStr">
        <is>
          <t>IO Contracts</t>
        </is>
      </c>
    </row>
    <row r="24" ht="45.75" customHeight="1">
      <c r="B24" s="6" t="inlineStr">
        <is>
          <t>Proposal Traceability</t>
        </is>
      </c>
      <c r="E24" s="2" t="inlineStr">
        <is>
          <t>Kế hoạch chưa phải kết quả đã triển khai; các target chất lượng, cloud và KPI kinh doanh cần bằng chứng nghiệm thu.</t>
        </is>
      </c>
    </row>
    <row r="25" ht="24" customHeight="1">
      <c r="B25" s="6" t="inlineStr">
        <is>
          <t>Acceptance Gates</t>
        </is>
      </c>
    </row>
    <row r="26" ht="24" customHeight="1">
      <c r="B26" s="6" t="inlineStr">
        <is>
          <t>Data Plan</t>
        </is>
      </c>
    </row>
    <row r="27" ht="24" customHeight="1">
      <c r="B27" s="6" t="inlineStr">
        <is>
          <t>Tech Stack</t>
        </is>
      </c>
    </row>
    <row r="28" ht="24" customHeight="1">
      <c r="B28" s="6" t="inlineStr">
        <is>
          <t>Decisions</t>
        </is>
      </c>
    </row>
    <row r="29" ht="24" customHeight="1">
      <c r="B29" s="6" t="inlineStr">
        <is>
          <t>Extensions</t>
        </is>
      </c>
    </row>
    <row r="30" ht="24" customHeight="1">
      <c r="B30" s="6" t="inlineStr">
        <is>
          <t>Source Register</t>
        </is>
      </c>
    </row>
    <row r="31" ht="24" customHeight="1">
      <c r="B31" s="6" t="inlineStr">
        <is>
          <t>Notes</t>
        </is>
      </c>
    </row>
  </sheetData>
  <autoFilter ref="A4:G13"/>
  <hyperlinks>
    <hyperlink ref="B17" location="'Milestones'!A1" display="Milestones"/>
    <hyperlink ref="B18" location="'Milestone Details'!A1" display="Milestone Details"/>
    <hyperlink ref="B19" location="'WBS'!A1" display="WBS"/>
    <hyperlink ref="B20" location="'Task Details'!A1" display="Task Details"/>
    <hyperlink ref="B21" location="'Capacity'!A1" display="Capacity"/>
    <hyperlink ref="B22" location="'Module Catalog'!A1" display="Module Catalog"/>
    <hyperlink ref="B23" location="'IO Contracts'!A1" display="IO Contracts"/>
    <hyperlink ref="B24" location="'Proposal Traceability'!A1" display="Proposal Traceability"/>
    <hyperlink ref="B25" location="'Acceptance Gates'!A1" display="Acceptance Gates"/>
    <hyperlink ref="B26" location="'Data Plan'!A1" display="Data Plan"/>
    <hyperlink ref="B27" location="'Tech Stack'!A1" display="Tech Stack"/>
    <hyperlink ref="B28" location="'Decisions'!A1" display="Decisions"/>
    <hyperlink ref="B29" location="'Extensions'!A1" display="Extensions"/>
    <hyperlink ref="B30" location="'Source Register'!A1" display="Source Register"/>
    <hyperlink ref="B31" location="'Notes'!A1" display="Notes"/>
  </hyperlinks>
  <pageMargins left="0.7" right="0.7" top="0.75" bottom="0.75" header="0.3" footer="0.3"/>
  <pageSetup orientation="landscape" paperSize="8"/>
</worksheet>
</file>

<file path=xl/worksheets/sheet2.xml><?xml version="1.0" encoding="utf-8"?>
<worksheet xmlns="http://schemas.openxmlformats.org/spreadsheetml/2006/main">
  <sheetPr>
    <tabColor rgb="FF087E8B"/>
    <outlinePr summaryBelow="1" summaryRight="1"/>
    <pageSetUpPr fitToPage="1"/>
  </sheetPr>
  <dimension ref="A1:DD28"/>
  <sheetViews>
    <sheetView showGridLines="0" zoomScale="75" zoomScaleNormal="75" workbookViewId="0">
      <pane xSplit="5" ySplit="10" topLeftCell="F11" activePane="bottomRight" state="frozen"/>
      <selection pane="topRight" activeCell="F1" sqref="F1"/>
      <selection pane="bottomLeft" activeCell="A11" sqref="A11"/>
      <selection pane="bottomRight" activeCell="A1" sqref="A1"/>
    </sheetView>
  </sheetViews>
  <sheetFormatPr baseColWidth="8" defaultRowHeight="15"/>
  <cols>
    <col width="3.28515625" customWidth="1" min="1" max="1"/>
    <col width="6.7109375" customWidth="1" min="2" max="2"/>
    <col width="3.7109375" customWidth="1" min="3" max="3"/>
    <col width="12.7109375" customWidth="1" min="4" max="4"/>
    <col width="50.7109375" customWidth="1" min="5" max="5"/>
    <col width="14.7109375" customWidth="1" min="6" max="7"/>
    <col width="22.7109375" customWidth="1" min="8" max="8"/>
    <col width="58.7109375" customWidth="1" min="9" max="9"/>
    <col width="16.7109375" customWidth="1" min="10" max="10"/>
    <col width="4.140625" customWidth="1" min="11" max="108"/>
  </cols>
  <sheetData>
    <row r="1" ht="36" customHeight="1">
      <c r="A1" s="7" t="inlineStr">
        <is>
          <t>MILESTONES | các giai đoạn và gate bàn giao</t>
        </is>
      </c>
    </row>
    <row r="2" ht="36" customHeight="1">
      <c r="A2" s="8" t="inlineStr">
        <is>
          <t>1 người • 26/10/2026–31/01/2027 • 14 tuần • ngày T2–T6; 01/01 dành cho nghỉ dự kiến • màu biểu thị trạng thái kế hoạch</t>
        </is>
      </c>
    </row>
    <row r="3">
      <c r="A3" s="9" t="inlineStr">
        <is>
          <t>← Cover Page</t>
        </is>
      </c>
    </row>
    <row r="4">
      <c r="B4" s="10" t="inlineStr">
        <is>
          <t>Người thực hiện: Trần Đình Khương | mọi vai trò kỹ thuật đều do cùng một người đảm nhiệm.</t>
        </is>
      </c>
    </row>
    <row r="5">
      <c r="B5" s="11" t="inlineStr">
        <is>
          <t>Not Started / In Progress / Done / Blocked / Deferred / Contingency</t>
        </is>
      </c>
    </row>
    <row r="6">
      <c r="B6" s="10" t="inlineStr">
        <is>
          <t>Lịch và effort tính theo 0,5 ngày; xem Task Details để biết buổi bắt đầu và dependency.</t>
        </is>
      </c>
    </row>
    <row r="8" ht="24.75" customHeight="1">
      <c r="B8" s="12" t="inlineStr">
        <is>
          <t>Task</t>
        </is>
      </c>
      <c r="F8" s="12" t="inlineStr">
        <is>
          <t>Start date</t>
        </is>
      </c>
      <c r="G8" s="12" t="inlineStr">
        <is>
          <t>End date</t>
        </is>
      </c>
      <c r="H8" s="12" t="inlineStr">
        <is>
          <t>Responsibility</t>
        </is>
      </c>
      <c r="I8" s="12" t="inlineStr">
        <is>
          <t>Deliverable</t>
        </is>
      </c>
      <c r="J8" s="12" t="inlineStr">
        <is>
          <t>Task Status</t>
        </is>
      </c>
      <c r="K8" s="13" t="inlineStr">
        <is>
          <t>W1</t>
        </is>
      </c>
      <c r="R8" s="14" t="inlineStr">
        <is>
          <t>W2</t>
        </is>
      </c>
      <c r="Y8" s="13" t="inlineStr">
        <is>
          <t>W3</t>
        </is>
      </c>
      <c r="AF8" s="14" t="inlineStr">
        <is>
          <t>W4</t>
        </is>
      </c>
      <c r="AM8" s="13" t="inlineStr">
        <is>
          <t>W5</t>
        </is>
      </c>
      <c r="AT8" s="14" t="inlineStr">
        <is>
          <t>W6</t>
        </is>
      </c>
      <c r="BA8" s="13" t="inlineStr">
        <is>
          <t>W7</t>
        </is>
      </c>
      <c r="BH8" s="14" t="inlineStr">
        <is>
          <t>W8</t>
        </is>
      </c>
      <c r="BO8" s="13" t="inlineStr">
        <is>
          <t>W9</t>
        </is>
      </c>
      <c r="BV8" s="14" t="inlineStr">
        <is>
          <t>W10</t>
        </is>
      </c>
      <c r="CC8" s="13" t="inlineStr">
        <is>
          <t>W11</t>
        </is>
      </c>
      <c r="CJ8" s="14" t="inlineStr">
        <is>
          <t>W12</t>
        </is>
      </c>
      <c r="CQ8" s="13" t="inlineStr">
        <is>
          <t>W13</t>
        </is>
      </c>
      <c r="CX8" s="14" t="inlineStr">
        <is>
          <t>W14</t>
        </is>
      </c>
    </row>
    <row r="9" ht="18.75" customHeight="1">
      <c r="K9" s="15" t="inlineStr">
        <is>
          <t>T2</t>
        </is>
      </c>
      <c r="L9" s="15" t="inlineStr">
        <is>
          <t>T3</t>
        </is>
      </c>
      <c r="M9" s="15" t="inlineStr">
        <is>
          <t>T4</t>
        </is>
      </c>
      <c r="N9" s="15" t="inlineStr">
        <is>
          <t>T5</t>
        </is>
      </c>
      <c r="O9" s="15" t="inlineStr">
        <is>
          <t>T6</t>
        </is>
      </c>
      <c r="P9" s="16" t="inlineStr">
        <is>
          <t>T7</t>
        </is>
      </c>
      <c r="Q9" s="16" t="inlineStr">
        <is>
          <t>CN</t>
        </is>
      </c>
      <c r="R9" s="15" t="inlineStr">
        <is>
          <t>T2</t>
        </is>
      </c>
      <c r="S9" s="15" t="inlineStr">
        <is>
          <t>T3</t>
        </is>
      </c>
      <c r="T9" s="15" t="inlineStr">
        <is>
          <t>T4</t>
        </is>
      </c>
      <c r="U9" s="15" t="inlineStr">
        <is>
          <t>T5</t>
        </is>
      </c>
      <c r="V9" s="15" t="inlineStr">
        <is>
          <t>T6</t>
        </is>
      </c>
      <c r="W9" s="16" t="inlineStr">
        <is>
          <t>T7</t>
        </is>
      </c>
      <c r="X9" s="16" t="inlineStr">
        <is>
          <t>CN</t>
        </is>
      </c>
      <c r="Y9" s="15" t="inlineStr">
        <is>
          <t>T2</t>
        </is>
      </c>
      <c r="Z9" s="15" t="inlineStr">
        <is>
          <t>T3</t>
        </is>
      </c>
      <c r="AA9" s="15" t="inlineStr">
        <is>
          <t>T4</t>
        </is>
      </c>
      <c r="AB9" s="15" t="inlineStr">
        <is>
          <t>T5</t>
        </is>
      </c>
      <c r="AC9" s="15" t="inlineStr">
        <is>
          <t>T6</t>
        </is>
      </c>
      <c r="AD9" s="16" t="inlineStr">
        <is>
          <t>T7</t>
        </is>
      </c>
      <c r="AE9" s="16" t="inlineStr">
        <is>
          <t>CN</t>
        </is>
      </c>
      <c r="AF9" s="15" t="inlineStr">
        <is>
          <t>T2</t>
        </is>
      </c>
      <c r="AG9" s="15" t="inlineStr">
        <is>
          <t>T3</t>
        </is>
      </c>
      <c r="AH9" s="15" t="inlineStr">
        <is>
          <t>T4</t>
        </is>
      </c>
      <c r="AI9" s="15" t="inlineStr">
        <is>
          <t>T5</t>
        </is>
      </c>
      <c r="AJ9" s="15" t="inlineStr">
        <is>
          <t>T6</t>
        </is>
      </c>
      <c r="AK9" s="16" t="inlineStr">
        <is>
          <t>T7</t>
        </is>
      </c>
      <c r="AL9" s="16" t="inlineStr">
        <is>
          <t>CN</t>
        </is>
      </c>
      <c r="AM9" s="15" t="inlineStr">
        <is>
          <t>T2</t>
        </is>
      </c>
      <c r="AN9" s="15" t="inlineStr">
        <is>
          <t>T3</t>
        </is>
      </c>
      <c r="AO9" s="15" t="inlineStr">
        <is>
          <t>T4</t>
        </is>
      </c>
      <c r="AP9" s="15" t="inlineStr">
        <is>
          <t>T5</t>
        </is>
      </c>
      <c r="AQ9" s="15" t="inlineStr">
        <is>
          <t>T6</t>
        </is>
      </c>
      <c r="AR9" s="16" t="inlineStr">
        <is>
          <t>T7</t>
        </is>
      </c>
      <c r="AS9" s="16" t="inlineStr">
        <is>
          <t>CN</t>
        </is>
      </c>
      <c r="AT9" s="15" t="inlineStr">
        <is>
          <t>T2</t>
        </is>
      </c>
      <c r="AU9" s="15" t="inlineStr">
        <is>
          <t>T3</t>
        </is>
      </c>
      <c r="AV9" s="15" t="inlineStr">
        <is>
          <t>T4</t>
        </is>
      </c>
      <c r="AW9" s="15" t="inlineStr">
        <is>
          <t>T5</t>
        </is>
      </c>
      <c r="AX9" s="15" t="inlineStr">
        <is>
          <t>T6</t>
        </is>
      </c>
      <c r="AY9" s="16" t="inlineStr">
        <is>
          <t>T7</t>
        </is>
      </c>
      <c r="AZ9" s="16" t="inlineStr">
        <is>
          <t>CN</t>
        </is>
      </c>
      <c r="BA9" s="15" t="inlineStr">
        <is>
          <t>T2</t>
        </is>
      </c>
      <c r="BB9" s="15" t="inlineStr">
        <is>
          <t>T3</t>
        </is>
      </c>
      <c r="BC9" s="15" t="inlineStr">
        <is>
          <t>T4</t>
        </is>
      </c>
      <c r="BD9" s="15" t="inlineStr">
        <is>
          <t>T5</t>
        </is>
      </c>
      <c r="BE9" s="15" t="inlineStr">
        <is>
          <t>T6</t>
        </is>
      </c>
      <c r="BF9" s="16" t="inlineStr">
        <is>
          <t>T7</t>
        </is>
      </c>
      <c r="BG9" s="16" t="inlineStr">
        <is>
          <t>CN</t>
        </is>
      </c>
      <c r="BH9" s="15" t="inlineStr">
        <is>
          <t>T2</t>
        </is>
      </c>
      <c r="BI9" s="15" t="inlineStr">
        <is>
          <t>T3</t>
        </is>
      </c>
      <c r="BJ9" s="15" t="inlineStr">
        <is>
          <t>T4</t>
        </is>
      </c>
      <c r="BK9" s="15" t="inlineStr">
        <is>
          <t>T5</t>
        </is>
      </c>
      <c r="BL9" s="15" t="inlineStr">
        <is>
          <t>T6</t>
        </is>
      </c>
      <c r="BM9" s="16" t="inlineStr">
        <is>
          <t>T7</t>
        </is>
      </c>
      <c r="BN9" s="16" t="inlineStr">
        <is>
          <t>CN</t>
        </is>
      </c>
      <c r="BO9" s="15" t="inlineStr">
        <is>
          <t>T2</t>
        </is>
      </c>
      <c r="BP9" s="15" t="inlineStr">
        <is>
          <t>T3</t>
        </is>
      </c>
      <c r="BQ9" s="15" t="inlineStr">
        <is>
          <t>T4</t>
        </is>
      </c>
      <c r="BR9" s="15" t="inlineStr">
        <is>
          <t>T5</t>
        </is>
      </c>
      <c r="BS9" s="15" t="inlineStr">
        <is>
          <t>T6</t>
        </is>
      </c>
      <c r="BT9" s="16" t="inlineStr">
        <is>
          <t>T7</t>
        </is>
      </c>
      <c r="BU9" s="16" t="inlineStr">
        <is>
          <t>CN</t>
        </is>
      </c>
      <c r="BV9" s="15" t="inlineStr">
        <is>
          <t>T2</t>
        </is>
      </c>
      <c r="BW9" s="15" t="inlineStr">
        <is>
          <t>T3</t>
        </is>
      </c>
      <c r="BX9" s="15" t="inlineStr">
        <is>
          <t>T4</t>
        </is>
      </c>
      <c r="BY9" s="15" t="inlineStr">
        <is>
          <t>T5</t>
        </is>
      </c>
      <c r="BZ9" s="15" t="inlineStr">
        <is>
          <t>T6</t>
        </is>
      </c>
      <c r="CA9" s="16" t="inlineStr">
        <is>
          <t>T7</t>
        </is>
      </c>
      <c r="CB9" s="16" t="inlineStr">
        <is>
          <t>CN</t>
        </is>
      </c>
      <c r="CC9" s="15" t="inlineStr">
        <is>
          <t>T2</t>
        </is>
      </c>
      <c r="CD9" s="15" t="inlineStr">
        <is>
          <t>T3</t>
        </is>
      </c>
      <c r="CE9" s="15" t="inlineStr">
        <is>
          <t>T4</t>
        </is>
      </c>
      <c r="CF9" s="15" t="inlineStr">
        <is>
          <t>T5</t>
        </is>
      </c>
      <c r="CG9" s="15" t="inlineStr">
        <is>
          <t>T6</t>
        </is>
      </c>
      <c r="CH9" s="16" t="inlineStr">
        <is>
          <t>T7</t>
        </is>
      </c>
      <c r="CI9" s="16" t="inlineStr">
        <is>
          <t>CN</t>
        </is>
      </c>
      <c r="CJ9" s="15" t="inlineStr">
        <is>
          <t>T2</t>
        </is>
      </c>
      <c r="CK9" s="15" t="inlineStr">
        <is>
          <t>T3</t>
        </is>
      </c>
      <c r="CL9" s="15" t="inlineStr">
        <is>
          <t>T4</t>
        </is>
      </c>
      <c r="CM9" s="15" t="inlineStr">
        <is>
          <t>T5</t>
        </is>
      </c>
      <c r="CN9" s="15" t="inlineStr">
        <is>
          <t>T6</t>
        </is>
      </c>
      <c r="CO9" s="16" t="inlineStr">
        <is>
          <t>T7</t>
        </is>
      </c>
      <c r="CP9" s="16" t="inlineStr">
        <is>
          <t>CN</t>
        </is>
      </c>
      <c r="CQ9" s="15" t="inlineStr">
        <is>
          <t>T2</t>
        </is>
      </c>
      <c r="CR9" s="15" t="inlineStr">
        <is>
          <t>T3</t>
        </is>
      </c>
      <c r="CS9" s="15" t="inlineStr">
        <is>
          <t>T4</t>
        </is>
      </c>
      <c r="CT9" s="15" t="inlineStr">
        <is>
          <t>T5</t>
        </is>
      </c>
      <c r="CU9" s="15" t="inlineStr">
        <is>
          <t>T6</t>
        </is>
      </c>
      <c r="CV9" s="16" t="inlineStr">
        <is>
          <t>T7</t>
        </is>
      </c>
      <c r="CW9" s="16" t="inlineStr">
        <is>
          <t>CN</t>
        </is>
      </c>
      <c r="CX9" s="15" t="inlineStr">
        <is>
          <t>T2</t>
        </is>
      </c>
      <c r="CY9" s="15" t="inlineStr">
        <is>
          <t>T3</t>
        </is>
      </c>
      <c r="CZ9" s="15" t="inlineStr">
        <is>
          <t>T4</t>
        </is>
      </c>
      <c r="DA9" s="15" t="inlineStr">
        <is>
          <t>T5</t>
        </is>
      </c>
      <c r="DB9" s="15" t="inlineStr">
        <is>
          <t>T6</t>
        </is>
      </c>
      <c r="DC9" s="16" t="inlineStr">
        <is>
          <t>T7</t>
        </is>
      </c>
      <c r="DD9" s="16" t="inlineStr">
        <is>
          <t>CN</t>
        </is>
      </c>
    </row>
    <row r="10" ht="35.25" customHeight="1">
      <c r="K10" s="17" t="n">
        <v>46321</v>
      </c>
      <c r="L10" s="17" t="n">
        <v>46322</v>
      </c>
      <c r="M10" s="17" t="n">
        <v>46323</v>
      </c>
      <c r="N10" s="17" t="n">
        <v>46324</v>
      </c>
      <c r="O10" s="17" t="n">
        <v>46325</v>
      </c>
      <c r="P10" s="18" t="n">
        <v>46326</v>
      </c>
      <c r="Q10" s="18" t="n">
        <v>46327</v>
      </c>
      <c r="R10" s="17" t="n">
        <v>46328</v>
      </c>
      <c r="S10" s="17" t="n">
        <v>46329</v>
      </c>
      <c r="T10" s="17" t="n">
        <v>46330</v>
      </c>
      <c r="U10" s="17" t="n">
        <v>46331</v>
      </c>
      <c r="V10" s="17" t="n">
        <v>46332</v>
      </c>
      <c r="W10" s="18" t="n">
        <v>46333</v>
      </c>
      <c r="X10" s="18" t="n">
        <v>46334</v>
      </c>
      <c r="Y10" s="17" t="n">
        <v>46335</v>
      </c>
      <c r="Z10" s="17" t="n">
        <v>46336</v>
      </c>
      <c r="AA10" s="17" t="n">
        <v>46337</v>
      </c>
      <c r="AB10" s="17" t="n">
        <v>46338</v>
      </c>
      <c r="AC10" s="17" t="n">
        <v>46339</v>
      </c>
      <c r="AD10" s="18" t="n">
        <v>46340</v>
      </c>
      <c r="AE10" s="18" t="n">
        <v>46341</v>
      </c>
      <c r="AF10" s="17" t="n">
        <v>46342</v>
      </c>
      <c r="AG10" s="17" t="n">
        <v>46343</v>
      </c>
      <c r="AH10" s="17" t="n">
        <v>46344</v>
      </c>
      <c r="AI10" s="17" t="n">
        <v>46345</v>
      </c>
      <c r="AJ10" s="17" t="n">
        <v>46346</v>
      </c>
      <c r="AK10" s="18" t="n">
        <v>46347</v>
      </c>
      <c r="AL10" s="18" t="n">
        <v>46348</v>
      </c>
      <c r="AM10" s="17" t="n">
        <v>46349</v>
      </c>
      <c r="AN10" s="17" t="n">
        <v>46350</v>
      </c>
      <c r="AO10" s="17" t="n">
        <v>46351</v>
      </c>
      <c r="AP10" s="17" t="n">
        <v>46352</v>
      </c>
      <c r="AQ10" s="17" t="n">
        <v>46353</v>
      </c>
      <c r="AR10" s="18" t="n">
        <v>46354</v>
      </c>
      <c r="AS10" s="18" t="n">
        <v>46355</v>
      </c>
      <c r="AT10" s="17" t="n">
        <v>46356</v>
      </c>
      <c r="AU10" s="17" t="n">
        <v>46357</v>
      </c>
      <c r="AV10" s="17" t="n">
        <v>46358</v>
      </c>
      <c r="AW10" s="17" t="n">
        <v>46359</v>
      </c>
      <c r="AX10" s="17" t="n">
        <v>46360</v>
      </c>
      <c r="AY10" s="18" t="n">
        <v>46361</v>
      </c>
      <c r="AZ10" s="18" t="n">
        <v>46362</v>
      </c>
      <c r="BA10" s="17" t="n">
        <v>46363</v>
      </c>
      <c r="BB10" s="17" t="n">
        <v>46364</v>
      </c>
      <c r="BC10" s="17" t="n">
        <v>46365</v>
      </c>
      <c r="BD10" s="17" t="n">
        <v>46366</v>
      </c>
      <c r="BE10" s="17" t="n">
        <v>46367</v>
      </c>
      <c r="BF10" s="18" t="n">
        <v>46368</v>
      </c>
      <c r="BG10" s="18" t="n">
        <v>46369</v>
      </c>
      <c r="BH10" s="17" t="n">
        <v>46370</v>
      </c>
      <c r="BI10" s="17" t="n">
        <v>46371</v>
      </c>
      <c r="BJ10" s="17" t="n">
        <v>46372</v>
      </c>
      <c r="BK10" s="17" t="n">
        <v>46373</v>
      </c>
      <c r="BL10" s="17" t="n">
        <v>46374</v>
      </c>
      <c r="BM10" s="18" t="n">
        <v>46375</v>
      </c>
      <c r="BN10" s="18" t="n">
        <v>46376</v>
      </c>
      <c r="BO10" s="17" t="n">
        <v>46377</v>
      </c>
      <c r="BP10" s="17" t="n">
        <v>46378</v>
      </c>
      <c r="BQ10" s="17" t="n">
        <v>46379</v>
      </c>
      <c r="BR10" s="17" t="n">
        <v>46380</v>
      </c>
      <c r="BS10" s="17" t="n">
        <v>46381</v>
      </c>
      <c r="BT10" s="18" t="n">
        <v>46382</v>
      </c>
      <c r="BU10" s="18" t="n">
        <v>46383</v>
      </c>
      <c r="BV10" s="17" t="n">
        <v>46384</v>
      </c>
      <c r="BW10" s="17" t="n">
        <v>46385</v>
      </c>
      <c r="BX10" s="17" t="n">
        <v>46386</v>
      </c>
      <c r="BY10" s="17" t="n">
        <v>46387</v>
      </c>
      <c r="BZ10" s="17" t="n">
        <v>46388</v>
      </c>
      <c r="CA10" s="18" t="n">
        <v>46389</v>
      </c>
      <c r="CB10" s="18" t="n">
        <v>46390</v>
      </c>
      <c r="CC10" s="17" t="n">
        <v>46391</v>
      </c>
      <c r="CD10" s="17" t="n">
        <v>46392</v>
      </c>
      <c r="CE10" s="17" t="n">
        <v>46393</v>
      </c>
      <c r="CF10" s="17" t="n">
        <v>46394</v>
      </c>
      <c r="CG10" s="17" t="n">
        <v>46395</v>
      </c>
      <c r="CH10" s="18" t="n">
        <v>46396</v>
      </c>
      <c r="CI10" s="18" t="n">
        <v>46397</v>
      </c>
      <c r="CJ10" s="17" t="n">
        <v>46398</v>
      </c>
      <c r="CK10" s="17" t="n">
        <v>46399</v>
      </c>
      <c r="CL10" s="17" t="n">
        <v>46400</v>
      </c>
      <c r="CM10" s="17" t="n">
        <v>46401</v>
      </c>
      <c r="CN10" s="17" t="n">
        <v>46402</v>
      </c>
      <c r="CO10" s="18" t="n">
        <v>46403</v>
      </c>
      <c r="CP10" s="18" t="n">
        <v>46404</v>
      </c>
      <c r="CQ10" s="17" t="n">
        <v>46405</v>
      </c>
      <c r="CR10" s="17" t="n">
        <v>46406</v>
      </c>
      <c r="CS10" s="17" t="n">
        <v>46407</v>
      </c>
      <c r="CT10" s="17" t="n">
        <v>46408</v>
      </c>
      <c r="CU10" s="17" t="n">
        <v>46409</v>
      </c>
      <c r="CV10" s="18" t="n">
        <v>46410</v>
      </c>
      <c r="CW10" s="18" t="n">
        <v>46411</v>
      </c>
      <c r="CX10" s="17" t="n">
        <v>46412</v>
      </c>
      <c r="CY10" s="17" t="n">
        <v>46413</v>
      </c>
      <c r="CZ10" s="17" t="n">
        <v>46414</v>
      </c>
      <c r="DA10" s="17" t="n">
        <v>46415</v>
      </c>
      <c r="DB10" s="17" t="n">
        <v>46416</v>
      </c>
      <c r="DC10" s="18" t="n">
        <v>46417</v>
      </c>
      <c r="DD10" s="18" t="n">
        <v>46418</v>
      </c>
    </row>
    <row r="11" ht="87.75" customHeight="1">
      <c r="B11" s="19" t="inlineStr">
        <is>
          <t>M0</t>
        </is>
      </c>
      <c r="C11" s="39" t="n"/>
      <c r="D11" s="39" t="n"/>
      <c r="E11" s="19" t="inlineStr">
        <is>
          <t>Thiết kế chatbot và khóa phạm vi</t>
        </is>
      </c>
      <c r="F11" s="20" t="n">
        <v>46321</v>
      </c>
      <c r="G11" s="20" t="n">
        <v>46325</v>
      </c>
      <c r="H11" s="19" t="inlineStr">
        <is>
          <t>Trần Đình Khương</t>
        </is>
      </c>
      <c r="I11" s="19" t="inlineStr">
        <is>
          <t>Thiết kế chatbot, contract v1, wireframe, backlog, quyết định kỹ thuật và bộ kịch bản nghiệm thu.</t>
        </is>
      </c>
      <c r="J11" s="19">
        <f>'WBS'!J11</f>
        <v/>
      </c>
      <c r="K11" s="21" t="inlineStr">
        <is>
          <t>•</t>
        </is>
      </c>
      <c r="L11" s="21" t="inlineStr">
        <is>
          <t>•</t>
        </is>
      </c>
      <c r="M11" s="21" t="inlineStr">
        <is>
          <t>•</t>
        </is>
      </c>
      <c r="N11" s="21" t="inlineStr">
        <is>
          <t>•</t>
        </is>
      </c>
      <c r="O11" s="21" t="inlineStr">
        <is>
          <t>•</t>
        </is>
      </c>
    </row>
    <row r="12" ht="62.25" customHeight="1">
      <c r="D12" s="22" t="inlineStr">
        <is>
          <t>M0.G</t>
        </is>
      </c>
      <c r="E12" s="22" t="inlineStr">
        <is>
          <t>G0 — Review, nghiệm thu và báo cáo giai đoạn</t>
        </is>
      </c>
      <c r="F12" s="23" t="n">
        <v>46324</v>
      </c>
      <c r="G12" s="23" t="n">
        <v>46324</v>
      </c>
      <c r="H12" s="22" t="inlineStr">
        <is>
          <t>Trần Đình Khương</t>
        </is>
      </c>
      <c r="I12" s="22" t="inlineStr">
        <is>
          <t>docs/reports/milestones/m0-review.md; checklist; demo; manifest phiên bản
0.5 ngày • PM • sau M0.4</t>
        </is>
      </c>
      <c r="J12" s="24">
        <f>'WBS'!J16</f>
        <v/>
      </c>
      <c r="N12" s="25" t="inlineStr">
        <is>
          <t>◆</t>
        </is>
      </c>
    </row>
    <row r="13" ht="87.75" customHeight="1">
      <c r="B13" s="19" t="inlineStr">
        <is>
          <t>M1</t>
        </is>
      </c>
      <c r="C13" s="39" t="n"/>
      <c r="D13" s="39" t="n"/>
      <c r="E13" s="19" t="inlineStr">
        <is>
          <t>Chuẩn hóa dữ liệu chính sách cho chatbot</t>
        </is>
      </c>
      <c r="F13" s="20" t="n">
        <v>46328</v>
      </c>
      <c r="G13" s="20" t="n">
        <v>46332</v>
      </c>
      <c r="H13" s="19" t="inlineStr">
        <is>
          <t>Trần Đình Khương</t>
        </is>
      </c>
      <c r="I13" s="19" t="inlineStr">
        <is>
          <t>PolicyDocument/PolicyChunk đã duyệt; catalog nguồn; ingest report; policy-QA và privacy fixtures.</t>
        </is>
      </c>
      <c r="J13" s="19">
        <f>'WBS'!J18</f>
        <v/>
      </c>
      <c r="R13" s="21" t="inlineStr">
        <is>
          <t>•</t>
        </is>
      </c>
      <c r="S13" s="21" t="inlineStr">
        <is>
          <t>•</t>
        </is>
      </c>
      <c r="T13" s="21" t="inlineStr">
        <is>
          <t>•</t>
        </is>
      </c>
      <c r="U13" s="21" t="inlineStr">
        <is>
          <t>•</t>
        </is>
      </c>
      <c r="V13" s="21" t="inlineStr">
        <is>
          <t>•</t>
        </is>
      </c>
    </row>
    <row r="14" ht="62.25" customHeight="1">
      <c r="D14" s="22" t="inlineStr">
        <is>
          <t>M1.G</t>
        </is>
      </c>
      <c r="E14" s="22" t="inlineStr">
        <is>
          <t>G1 — Review, nghiệm thu và báo cáo giai đoạn</t>
        </is>
      </c>
      <c r="F14" s="23" t="n">
        <v>46331</v>
      </c>
      <c r="G14" s="23" t="n">
        <v>46331</v>
      </c>
      <c r="H14" s="22" t="inlineStr">
        <is>
          <t>Trần Đình Khương</t>
        </is>
      </c>
      <c r="I14" s="22" t="inlineStr">
        <is>
          <t>docs/reports/milestones/m1-review.md; checklist; demo; manifest phiên bản
0.5 ngày • PM • sau M1.4</t>
        </is>
      </c>
      <c r="J14" s="24">
        <f>'WBS'!J23</f>
        <v/>
      </c>
      <c r="U14" s="25" t="inlineStr">
        <is>
          <t>◆</t>
        </is>
      </c>
    </row>
    <row r="15" ht="87.75" customHeight="1">
      <c r="B15" s="19" t="inlineStr">
        <is>
          <t>M2</t>
        </is>
      </c>
      <c r="C15" s="39" t="n"/>
      <c r="D15" s="39" t="n"/>
      <c r="E15" s="19" t="inlineStr">
        <is>
          <t>Chatbot RAG đầu tiên chạy xuyên suốt</t>
        </is>
      </c>
      <c r="F15" s="20" t="n">
        <v>46335</v>
      </c>
      <c r="G15" s="20" t="n">
        <v>46346</v>
      </c>
      <c r="H15" s="19" t="inlineStr">
        <is>
          <t>Trần Đình Khương</t>
        </is>
      </c>
      <c r="I15" s="19" t="inlineStr">
        <is>
          <t>Chat UI + API + history + retrieval + grounded generation; Docker demo; báo cáo benchmark ban đầu.</t>
        </is>
      </c>
      <c r="J15" s="19">
        <f>'WBS'!J25</f>
        <v/>
      </c>
      <c r="Y15" s="21" t="inlineStr">
        <is>
          <t>•</t>
        </is>
      </c>
      <c r="Z15" s="21" t="inlineStr">
        <is>
          <t>•</t>
        </is>
      </c>
      <c r="AA15" s="21" t="inlineStr">
        <is>
          <t>•</t>
        </is>
      </c>
      <c r="AB15" s="21" t="inlineStr">
        <is>
          <t>•</t>
        </is>
      </c>
      <c r="AC15" s="21" t="inlineStr">
        <is>
          <t>•</t>
        </is>
      </c>
      <c r="AF15" s="21" t="inlineStr">
        <is>
          <t>•</t>
        </is>
      </c>
      <c r="AG15" s="21" t="inlineStr">
        <is>
          <t>•</t>
        </is>
      </c>
      <c r="AH15" s="21" t="inlineStr">
        <is>
          <t>•</t>
        </is>
      </c>
      <c r="AI15" s="21" t="inlineStr">
        <is>
          <t>•</t>
        </is>
      </c>
      <c r="AJ15" s="21" t="inlineStr">
        <is>
          <t>•</t>
        </is>
      </c>
    </row>
    <row r="16" ht="62.25" customHeight="1">
      <c r="D16" s="22" t="inlineStr">
        <is>
          <t>M2.G</t>
        </is>
      </c>
      <c r="E16" s="22" t="inlineStr">
        <is>
          <t>G2 — Review, nghiệm thu và báo cáo giai đoạn</t>
        </is>
      </c>
      <c r="F16" s="23" t="n">
        <v>46345</v>
      </c>
      <c r="G16" s="23" t="n">
        <v>46345</v>
      </c>
      <c r="H16" s="22" t="inlineStr">
        <is>
          <t>Trần Đình Khương</t>
        </is>
      </c>
      <c r="I16" s="22" t="inlineStr">
        <is>
          <t>docs/reports/milestones/m2-review.md; checklist; demo; manifest phiên bản
0.5 ngày • PM • sau M2.8</t>
        </is>
      </c>
      <c r="J16" s="24">
        <f>'WBS'!J34</f>
        <v/>
      </c>
      <c r="AI16" s="25" t="inlineStr">
        <is>
          <t>◆</t>
        </is>
      </c>
    </row>
    <row r="17" ht="87.75" customHeight="1">
      <c r="B17" s="19" t="inlineStr">
        <is>
          <t>M3</t>
        </is>
      </c>
      <c r="C17" s="39" t="n"/>
      <c r="D17" s="39" t="n"/>
      <c r="E17" s="19" t="inlineStr">
        <is>
          <t>Chatbot theo đơn hàng và Copilot CSKH</t>
        </is>
      </c>
      <c r="F17" s="20" t="n">
        <v>46349</v>
      </c>
      <c r="G17" s="20" t="n">
        <v>46360</v>
      </c>
      <c r="H17" s="19" t="inlineStr">
        <is>
          <t>Trần Đình Khương</t>
        </is>
      </c>
      <c r="I17" s="19" t="inlineStr">
        <is>
          <t>Policy engine + customer tools + FSM + Agent Workspace; ticket/action/outcome và phản hồi được lưu.</t>
        </is>
      </c>
      <c r="J17" s="19">
        <f>'WBS'!J36</f>
        <v/>
      </c>
      <c r="AM17" s="21" t="inlineStr">
        <is>
          <t>•</t>
        </is>
      </c>
      <c r="AN17" s="21" t="inlineStr">
        <is>
          <t>•</t>
        </is>
      </c>
      <c r="AO17" s="21" t="inlineStr">
        <is>
          <t>•</t>
        </is>
      </c>
      <c r="AP17" s="21" t="inlineStr">
        <is>
          <t>•</t>
        </is>
      </c>
      <c r="AQ17" s="21" t="inlineStr">
        <is>
          <t>•</t>
        </is>
      </c>
      <c r="AT17" s="21" t="inlineStr">
        <is>
          <t>•</t>
        </is>
      </c>
      <c r="AU17" s="21" t="inlineStr">
        <is>
          <t>•</t>
        </is>
      </c>
      <c r="AV17" s="21" t="inlineStr">
        <is>
          <t>•</t>
        </is>
      </c>
      <c r="AW17" s="21" t="inlineStr">
        <is>
          <t>•</t>
        </is>
      </c>
      <c r="AX17" s="21" t="inlineStr">
        <is>
          <t>•</t>
        </is>
      </c>
    </row>
    <row r="18" ht="62.25" customHeight="1">
      <c r="D18" s="22" t="inlineStr">
        <is>
          <t>M3.G</t>
        </is>
      </c>
      <c r="E18" s="22" t="inlineStr">
        <is>
          <t>G3 — Review, nghiệm thu và báo cáo giai đoạn</t>
        </is>
      </c>
      <c r="F18" s="23" t="n">
        <v>46359</v>
      </c>
      <c r="G18" s="23" t="n">
        <v>46359</v>
      </c>
      <c r="H18" s="22" t="inlineStr">
        <is>
          <t>Trần Đình Khương</t>
        </is>
      </c>
      <c r="I18" s="22" t="inlineStr">
        <is>
          <t>docs/reports/milestones/m3-review.md; checklist; demo; manifest phiên bản
0.5 ngày • PM • sau M3.8</t>
        </is>
      </c>
      <c r="J18" s="24">
        <f>'WBS'!J45</f>
        <v/>
      </c>
      <c r="AW18" s="25" t="inlineStr">
        <is>
          <t>◆</t>
        </is>
      </c>
    </row>
    <row r="19" ht="87.75" customHeight="1">
      <c r="B19" s="19" t="inlineStr">
        <is>
          <t>M4</t>
        </is>
      </c>
      <c r="C19" s="39" t="n"/>
      <c r="D19" s="39" t="n"/>
      <c r="E19" s="19" t="inlineStr">
        <is>
          <t>ABSA và ingestion toàn corpus</t>
        </is>
      </c>
      <c r="F19" s="20" t="n">
        <v>46363</v>
      </c>
      <c r="G19" s="20" t="n">
        <v>46374</v>
      </c>
      <c r="H19" s="19" t="inlineStr">
        <is>
          <t>Trần Đình Khương</t>
        </is>
      </c>
      <c r="I19" s="19" t="inlineStr">
        <is>
          <t>Baseline + candidate ABSA, report, model card; predictions có version; async worker + router; triage tự động.</t>
        </is>
      </c>
      <c r="J19" s="19">
        <f>'WBS'!J47</f>
        <v/>
      </c>
      <c r="BA19" s="21" t="inlineStr">
        <is>
          <t>•</t>
        </is>
      </c>
      <c r="BB19" s="21" t="inlineStr">
        <is>
          <t>•</t>
        </is>
      </c>
      <c r="BC19" s="21" t="inlineStr">
        <is>
          <t>•</t>
        </is>
      </c>
      <c r="BD19" s="21" t="inlineStr">
        <is>
          <t>•</t>
        </is>
      </c>
      <c r="BE19" s="21" t="inlineStr">
        <is>
          <t>•</t>
        </is>
      </c>
      <c r="BH19" s="21" t="inlineStr">
        <is>
          <t>•</t>
        </is>
      </c>
      <c r="BI19" s="21" t="inlineStr">
        <is>
          <t>•</t>
        </is>
      </c>
      <c r="BJ19" s="21" t="inlineStr">
        <is>
          <t>•</t>
        </is>
      </c>
      <c r="BK19" s="21" t="inlineStr">
        <is>
          <t>•</t>
        </is>
      </c>
      <c r="BL19" s="21" t="inlineStr">
        <is>
          <t>•</t>
        </is>
      </c>
    </row>
    <row r="20" ht="62.25" customHeight="1">
      <c r="D20" s="22" t="inlineStr">
        <is>
          <t>M4.G</t>
        </is>
      </c>
      <c r="E20" s="22" t="inlineStr">
        <is>
          <t>G4 — Review, nghiệm thu và báo cáo giai đoạn</t>
        </is>
      </c>
      <c r="F20" s="23" t="n">
        <v>46373</v>
      </c>
      <c r="G20" s="23" t="n">
        <v>46373</v>
      </c>
      <c r="H20" s="22" t="inlineStr">
        <is>
          <t>Trần Đình Khương</t>
        </is>
      </c>
      <c r="I20" s="22" t="inlineStr">
        <is>
          <t>docs/reports/milestones/m4-review.md; checklist; demo; manifest phiên bản
0.5 ngày • PM • sau M4.7</t>
        </is>
      </c>
      <c r="J20" s="24">
        <f>'WBS'!J55</f>
        <v/>
      </c>
      <c r="BK20" s="25" t="inlineStr">
        <is>
          <t>◆</t>
        </is>
      </c>
    </row>
    <row r="21" ht="87.75" customHeight="1">
      <c r="B21" s="19" t="inlineStr">
        <is>
          <t>M5</t>
        </is>
      </c>
      <c r="C21" s="39" t="n"/>
      <c r="D21" s="39" t="n"/>
      <c r="E21" s="19" t="inlineStr">
        <is>
          <t>Dashboard toàn corpus và điều tra bằng evidence</t>
        </is>
      </c>
      <c r="F21" s="20" t="n">
        <v>46377</v>
      </c>
      <c r="G21" s="20" t="n">
        <v>46381</v>
      </c>
      <c r="H21" s="19" t="inlineStr">
        <is>
          <t>Trần Đình Khương</t>
        </is>
      </c>
      <c r="I21" s="19" t="inlineStr">
        <is>
          <t>Analyst/PM dashboard, population/denominator, anomaly alert, drill-down giữ nguyên filters, benchmark review retrieval.</t>
        </is>
      </c>
      <c r="J21" s="19">
        <f>'WBS'!J57</f>
        <v/>
      </c>
      <c r="BO21" s="21" t="inlineStr">
        <is>
          <t>•</t>
        </is>
      </c>
      <c r="BP21" s="21" t="inlineStr">
        <is>
          <t>•</t>
        </is>
      </c>
      <c r="BQ21" s="21" t="inlineStr">
        <is>
          <t>•</t>
        </is>
      </c>
      <c r="BR21" s="21" t="inlineStr">
        <is>
          <t>•</t>
        </is>
      </c>
      <c r="BS21" s="21" t="inlineStr">
        <is>
          <t>•</t>
        </is>
      </c>
    </row>
    <row r="22" ht="62.25" customHeight="1">
      <c r="D22" s="22" t="inlineStr">
        <is>
          <t>M5.G</t>
        </is>
      </c>
      <c r="E22" s="22" t="inlineStr">
        <is>
          <t>G5 — Review, nghiệm thu và báo cáo giai đoạn</t>
        </is>
      </c>
      <c r="F22" s="23" t="n">
        <v>46380</v>
      </c>
      <c r="G22" s="23" t="n">
        <v>46380</v>
      </c>
      <c r="H22" s="22" t="inlineStr">
        <is>
          <t>Trần Đình Khương</t>
        </is>
      </c>
      <c r="I22" s="22" t="inlineStr">
        <is>
          <t>docs/reports/milestones/m5-review.md; checklist; demo; manifest phiên bản
0.5 ngày • PM • sau M5.4</t>
        </is>
      </c>
      <c r="J22" s="24">
        <f>'WBS'!J62</f>
        <v/>
      </c>
      <c r="BR22" s="25" t="inlineStr">
        <is>
          <t>◆</t>
        </is>
      </c>
    </row>
    <row r="23" ht="87.75" customHeight="1">
      <c r="B23" s="19" t="inlineStr">
        <is>
          <t>M6</t>
        </is>
      </c>
      <c r="C23" s="39" t="n"/>
      <c r="D23" s="39" t="n"/>
      <c r="E23" s="19" t="inlineStr">
        <is>
          <t>GraphRAG và quản trị tri thức</t>
        </is>
      </c>
      <c r="F23" s="20" t="n">
        <v>46384</v>
      </c>
      <c r="G23" s="20" t="n">
        <v>46395</v>
      </c>
      <c r="H23" s="19" t="inlineStr">
        <is>
          <t>Trần Đình Khương</t>
        </is>
      </c>
      <c r="I23" s="19" t="inlineStr">
        <is>
          <t>Ontology v1 + Neo4j + graph traversal; analyst/steward UI; knowledge publish/rollback; chatbot có evidence graph.</t>
        </is>
      </c>
      <c r="J23" s="19">
        <f>'WBS'!J64</f>
        <v/>
      </c>
      <c r="BV23" s="21" t="inlineStr">
        <is>
          <t>•</t>
        </is>
      </c>
      <c r="BW23" s="21" t="inlineStr">
        <is>
          <t>•</t>
        </is>
      </c>
      <c r="BX23" s="21" t="inlineStr">
        <is>
          <t>•</t>
        </is>
      </c>
      <c r="BY23" s="21" t="inlineStr">
        <is>
          <t>•</t>
        </is>
      </c>
      <c r="BZ23" s="21" t="inlineStr">
        <is>
          <t>•</t>
        </is>
      </c>
      <c r="CC23" s="21" t="inlineStr">
        <is>
          <t>•</t>
        </is>
      </c>
      <c r="CD23" s="21" t="inlineStr">
        <is>
          <t>•</t>
        </is>
      </c>
      <c r="CE23" s="21" t="inlineStr">
        <is>
          <t>•</t>
        </is>
      </c>
      <c r="CF23" s="21" t="inlineStr">
        <is>
          <t>•</t>
        </is>
      </c>
      <c r="CG23" s="21" t="inlineStr">
        <is>
          <t>•</t>
        </is>
      </c>
    </row>
    <row r="24" ht="62.25" customHeight="1">
      <c r="D24" s="22" t="inlineStr">
        <is>
          <t>M6.G</t>
        </is>
      </c>
      <c r="E24" s="22" t="inlineStr">
        <is>
          <t>G6 — Review, nghiệm thu và báo cáo giai đoạn</t>
        </is>
      </c>
      <c r="F24" s="23" t="n">
        <v>46395</v>
      </c>
      <c r="G24" s="23" t="n">
        <v>46395</v>
      </c>
      <c r="H24" s="22" t="inlineStr">
        <is>
          <t>Trần Đình Khương</t>
        </is>
      </c>
      <c r="I24" s="22" t="inlineStr">
        <is>
          <t>docs/reports/milestones/m6-review.md; checklist; demo; manifest phiên bản
0.5 ngày • PM • sau M6.9</t>
        </is>
      </c>
      <c r="J24" s="24">
        <f>'WBS'!J74</f>
        <v/>
      </c>
      <c r="CG24" s="25" t="inlineStr">
        <is>
          <t>◆</t>
        </is>
      </c>
    </row>
    <row r="25" ht="87.75" customHeight="1">
      <c r="B25" s="19" t="inlineStr">
        <is>
          <t>M7</t>
        </is>
      </c>
      <c r="C25" s="39" t="n"/>
      <c r="D25" s="39" t="n"/>
      <c r="E25" s="19" t="inlineStr">
        <is>
          <t>Closed-loop feedback và cải thiện mô hình</t>
        </is>
      </c>
      <c r="F25" s="20" t="n">
        <v>46398</v>
      </c>
      <c r="G25" s="20" t="n">
        <v>46402</v>
      </c>
      <c r="H25" s="19" t="inlineStr">
        <is>
          <t>Trần Đình Khương</t>
        </is>
      </c>
      <c r="I25" s="19" t="inlineStr">
        <is>
          <t>Versioned annotation datasets; active-learning queue; một retraining/eval cycle; drift monitors và publish decision.</t>
        </is>
      </c>
      <c r="J25" s="19">
        <f>'WBS'!J76</f>
        <v/>
      </c>
      <c r="CJ25" s="21" t="inlineStr">
        <is>
          <t>•</t>
        </is>
      </c>
      <c r="CK25" s="21" t="inlineStr">
        <is>
          <t>•</t>
        </is>
      </c>
      <c r="CL25" s="21" t="inlineStr">
        <is>
          <t>•</t>
        </is>
      </c>
      <c r="CM25" s="21" t="inlineStr">
        <is>
          <t>•</t>
        </is>
      </c>
      <c r="CN25" s="21" t="inlineStr">
        <is>
          <t>•</t>
        </is>
      </c>
    </row>
    <row r="26" ht="62.25" customHeight="1">
      <c r="D26" s="22" t="inlineStr">
        <is>
          <t>M7.G</t>
        </is>
      </c>
      <c r="E26" s="22" t="inlineStr">
        <is>
          <t>G7 — Review, nghiệm thu và báo cáo giai đoạn</t>
        </is>
      </c>
      <c r="F26" s="23" t="n">
        <v>46401</v>
      </c>
      <c r="G26" s="23" t="n">
        <v>46401</v>
      </c>
      <c r="H26" s="22" t="inlineStr">
        <is>
          <t>Trần Đình Khương</t>
        </is>
      </c>
      <c r="I26" s="22" t="inlineStr">
        <is>
          <t>docs/reports/milestones/m7-review.md; checklist; demo; manifest phiên bản
0.5 ngày • PM • sau M7.5</t>
        </is>
      </c>
      <c r="J26" s="24">
        <f>'WBS'!J82</f>
        <v/>
      </c>
      <c r="CM26" s="25" t="inlineStr">
        <is>
          <t>◆</t>
        </is>
      </c>
    </row>
    <row r="27" ht="87.75" customHeight="1">
      <c r="B27" s="19" t="inlineStr">
        <is>
          <t>M8</t>
        </is>
      </c>
      <c r="C27" s="39" t="n"/>
      <c r="D27" s="39" t="n"/>
      <c r="E27" s="19" t="inlineStr">
        <is>
          <t>Tích hợp, vận hành và bàn giao</t>
        </is>
      </c>
      <c r="F27" s="20" t="n">
        <v>46405</v>
      </c>
      <c r="G27" s="20" t="n">
        <v>46416</v>
      </c>
      <c r="H27" s="19" t="inlineStr">
        <is>
          <t>Trần Đình Khương</t>
        </is>
      </c>
      <c r="I27" s="19" t="inlineStr">
        <is>
          <t>Release bundle, 5 UAT demos, eval suite, deploy/IaC package, runbooks, rollback evidence và coverage ledger.</t>
        </is>
      </c>
      <c r="J27" s="19">
        <f>'WBS'!J84</f>
        <v/>
      </c>
      <c r="CQ27" s="21" t="inlineStr">
        <is>
          <t>•</t>
        </is>
      </c>
      <c r="CR27" s="21" t="inlineStr">
        <is>
          <t>•</t>
        </is>
      </c>
      <c r="CS27" s="21" t="inlineStr">
        <is>
          <t>•</t>
        </is>
      </c>
      <c r="CT27" s="21" t="inlineStr">
        <is>
          <t>•</t>
        </is>
      </c>
      <c r="CU27" s="21" t="inlineStr">
        <is>
          <t>•</t>
        </is>
      </c>
      <c r="CX27" s="21" t="inlineStr">
        <is>
          <t>•</t>
        </is>
      </c>
      <c r="CY27" s="21" t="inlineStr">
        <is>
          <t>•</t>
        </is>
      </c>
      <c r="CZ27" s="21" t="inlineStr">
        <is>
          <t>•</t>
        </is>
      </c>
      <c r="DA27" s="21" t="inlineStr">
        <is>
          <t>•</t>
        </is>
      </c>
      <c r="DB27" s="21" t="inlineStr">
        <is>
          <t>•</t>
        </is>
      </c>
    </row>
    <row r="28" ht="62.25" customHeight="1">
      <c r="D28" s="22" t="inlineStr">
        <is>
          <t>M8.G</t>
        </is>
      </c>
      <c r="E28" s="22" t="inlineStr">
        <is>
          <t>G8 — Review, nghiệm thu và báo cáo giai đoạn</t>
        </is>
      </c>
      <c r="F28" s="23" t="n">
        <v>46414</v>
      </c>
      <c r="G28" s="23" t="n">
        <v>46414</v>
      </c>
      <c r="H28" s="22" t="inlineStr">
        <is>
          <t>Trần Đình Khương</t>
        </is>
      </c>
      <c r="I28" s="22" t="inlineStr">
        <is>
          <t>docs/reports/milestones/m8-review.md; checklist; demo; manifest phiên bản
0.5 ngày • PM • sau M8.8</t>
        </is>
      </c>
      <c r="J28" s="24">
        <f>'WBS'!J93</f>
        <v/>
      </c>
      <c r="CZ28" s="25" t="inlineStr">
        <is>
          <t>◆</t>
        </is>
      </c>
    </row>
  </sheetData>
  <mergeCells count="34">
    <mergeCell ref="A1:J1"/>
    <mergeCell ref="A2:J2"/>
    <mergeCell ref="B4:J4"/>
    <mergeCell ref="B5:J5"/>
    <mergeCell ref="B6:J6"/>
    <mergeCell ref="B8:E10"/>
    <mergeCell ref="F8:F10"/>
    <mergeCell ref="G8:G10"/>
    <mergeCell ref="H8:H10"/>
    <mergeCell ref="I8:I10"/>
    <mergeCell ref="J8:J10"/>
    <mergeCell ref="K8:Q8"/>
    <mergeCell ref="R8:X8"/>
    <mergeCell ref="Y8:AE8"/>
    <mergeCell ref="AF8:AL8"/>
    <mergeCell ref="AM8:AS8"/>
    <mergeCell ref="AT8:AZ8"/>
    <mergeCell ref="BA8:BG8"/>
    <mergeCell ref="BH8:BN8"/>
    <mergeCell ref="BO8:BU8"/>
    <mergeCell ref="BV8:CB8"/>
    <mergeCell ref="CC8:CI8"/>
    <mergeCell ref="CJ8:CP8"/>
    <mergeCell ref="CQ8:CW8"/>
    <mergeCell ref="CX8:DD8"/>
    <mergeCell ref="B11:D11"/>
    <mergeCell ref="B13:D13"/>
    <mergeCell ref="B15:D15"/>
    <mergeCell ref="B17:D17"/>
    <mergeCell ref="B19:D19"/>
    <mergeCell ref="B21:D21"/>
    <mergeCell ref="B23:D23"/>
    <mergeCell ref="B25:D25"/>
    <mergeCell ref="B27:D27"/>
  </mergeCells>
  <conditionalFormatting sqref="K11:DD11">
    <cfRule type="expression" priority="1" dxfId="0">
      <formula>AND($J11="Not Started",K11&lt;&gt;"")</formula>
    </cfRule>
    <cfRule type="expression" priority="2" dxfId="1">
      <formula>AND($J11="In Progress",K11&lt;&gt;"")</formula>
    </cfRule>
    <cfRule type="expression" priority="3" dxfId="2">
      <formula>AND($J11="Done",K11&lt;&gt;"")</formula>
    </cfRule>
    <cfRule type="expression" priority="4" dxfId="3">
      <formula>AND($J11="Blocked",K11&lt;&gt;"")</formula>
    </cfRule>
    <cfRule type="expression" priority="5" dxfId="4">
      <formula>AND($J11="Deferred",K11&lt;&gt;"")</formula>
    </cfRule>
    <cfRule type="expression" priority="6" dxfId="5">
      <formula>AND($J11="Contingency",K11&lt;&gt;"")</formula>
    </cfRule>
  </conditionalFormatting>
  <conditionalFormatting sqref="K12:DD12">
    <cfRule type="expression" priority="7" dxfId="0">
      <formula>AND($J12="Not Started",K12&lt;&gt;"")</formula>
    </cfRule>
    <cfRule type="expression" priority="8" dxfId="1">
      <formula>AND($J12="In Progress",K12&lt;&gt;"")</formula>
    </cfRule>
    <cfRule type="expression" priority="9" dxfId="2">
      <formula>AND($J12="Done",K12&lt;&gt;"")</formula>
    </cfRule>
    <cfRule type="expression" priority="10" dxfId="3">
      <formula>AND($J12="Blocked",K12&lt;&gt;"")</formula>
    </cfRule>
    <cfRule type="expression" priority="11" dxfId="4">
      <formula>AND($J12="Deferred",K12&lt;&gt;"")</formula>
    </cfRule>
    <cfRule type="expression" priority="12" dxfId="5">
      <formula>AND($J12="Contingency",K12&lt;&gt;"")</formula>
    </cfRule>
  </conditionalFormatting>
  <conditionalFormatting sqref="K13:DD13">
    <cfRule type="expression" priority="13" dxfId="0">
      <formula>AND($J13="Not Started",K13&lt;&gt;"")</formula>
    </cfRule>
    <cfRule type="expression" priority="14" dxfId="1">
      <formula>AND($J13="In Progress",K13&lt;&gt;"")</formula>
    </cfRule>
    <cfRule type="expression" priority="15" dxfId="2">
      <formula>AND($J13="Done",K13&lt;&gt;"")</formula>
    </cfRule>
    <cfRule type="expression" priority="16" dxfId="3">
      <formula>AND($J13="Blocked",K13&lt;&gt;"")</formula>
    </cfRule>
    <cfRule type="expression" priority="17" dxfId="4">
      <formula>AND($J13="Deferred",K13&lt;&gt;"")</formula>
    </cfRule>
    <cfRule type="expression" priority="18" dxfId="5">
      <formula>AND($J13="Contingency",K13&lt;&gt;"")</formula>
    </cfRule>
  </conditionalFormatting>
  <conditionalFormatting sqref="K14:DD14">
    <cfRule type="expression" priority="19" dxfId="0">
      <formula>AND($J14="Not Started",K14&lt;&gt;"")</formula>
    </cfRule>
    <cfRule type="expression" priority="20" dxfId="1">
      <formula>AND($J14="In Progress",K14&lt;&gt;"")</formula>
    </cfRule>
    <cfRule type="expression" priority="21" dxfId="2">
      <formula>AND($J14="Done",K14&lt;&gt;"")</formula>
    </cfRule>
    <cfRule type="expression" priority="22" dxfId="3">
      <formula>AND($J14="Blocked",K14&lt;&gt;"")</formula>
    </cfRule>
    <cfRule type="expression" priority="23" dxfId="4">
      <formula>AND($J14="Deferred",K14&lt;&gt;"")</formula>
    </cfRule>
    <cfRule type="expression" priority="24" dxfId="5">
      <formula>AND($J14="Contingency",K14&lt;&gt;"")</formula>
    </cfRule>
  </conditionalFormatting>
  <conditionalFormatting sqref="K15:DD15">
    <cfRule type="expression" priority="25" dxfId="0">
      <formula>AND($J15="Not Started",K15&lt;&gt;"")</formula>
    </cfRule>
    <cfRule type="expression" priority="26" dxfId="1">
      <formula>AND($J15="In Progress",K15&lt;&gt;"")</formula>
    </cfRule>
    <cfRule type="expression" priority="27" dxfId="2">
      <formula>AND($J15="Done",K15&lt;&gt;"")</formula>
    </cfRule>
    <cfRule type="expression" priority="28" dxfId="3">
      <formula>AND($J15="Blocked",K15&lt;&gt;"")</formula>
    </cfRule>
    <cfRule type="expression" priority="29" dxfId="4">
      <formula>AND($J15="Deferred",K15&lt;&gt;"")</formula>
    </cfRule>
    <cfRule type="expression" priority="30" dxfId="5">
      <formula>AND($J15="Contingency",K15&lt;&gt;"")</formula>
    </cfRule>
  </conditionalFormatting>
  <conditionalFormatting sqref="K16:DD16">
    <cfRule type="expression" priority="31" dxfId="0">
      <formula>AND($J16="Not Started",K16&lt;&gt;"")</formula>
    </cfRule>
    <cfRule type="expression" priority="32" dxfId="1">
      <formula>AND($J16="In Progress",K16&lt;&gt;"")</formula>
    </cfRule>
    <cfRule type="expression" priority="33" dxfId="2">
      <formula>AND($J16="Done",K16&lt;&gt;"")</formula>
    </cfRule>
    <cfRule type="expression" priority="34" dxfId="3">
      <formula>AND($J16="Blocked",K16&lt;&gt;"")</formula>
    </cfRule>
    <cfRule type="expression" priority="35" dxfId="4">
      <formula>AND($J16="Deferred",K16&lt;&gt;"")</formula>
    </cfRule>
    <cfRule type="expression" priority="36" dxfId="5">
      <formula>AND($J16="Contingency",K16&lt;&gt;"")</formula>
    </cfRule>
  </conditionalFormatting>
  <conditionalFormatting sqref="K17:DD17">
    <cfRule type="expression" priority="37" dxfId="0">
      <formula>AND($J17="Not Started",K17&lt;&gt;"")</formula>
    </cfRule>
    <cfRule type="expression" priority="38" dxfId="1">
      <formula>AND($J17="In Progress",K17&lt;&gt;"")</formula>
    </cfRule>
    <cfRule type="expression" priority="39" dxfId="2">
      <formula>AND($J17="Done",K17&lt;&gt;"")</formula>
    </cfRule>
    <cfRule type="expression" priority="40" dxfId="3">
      <formula>AND($J17="Blocked",K17&lt;&gt;"")</formula>
    </cfRule>
    <cfRule type="expression" priority="41" dxfId="4">
      <formula>AND($J17="Deferred",K17&lt;&gt;"")</formula>
    </cfRule>
    <cfRule type="expression" priority="42" dxfId="5">
      <formula>AND($J17="Contingency",K17&lt;&gt;"")</formula>
    </cfRule>
  </conditionalFormatting>
  <conditionalFormatting sqref="K18:DD18">
    <cfRule type="expression" priority="43" dxfId="0">
      <formula>AND($J18="Not Started",K18&lt;&gt;"")</formula>
    </cfRule>
    <cfRule type="expression" priority="44" dxfId="1">
      <formula>AND($J18="In Progress",K18&lt;&gt;"")</formula>
    </cfRule>
    <cfRule type="expression" priority="45" dxfId="2">
      <formula>AND($J18="Done",K18&lt;&gt;"")</formula>
    </cfRule>
    <cfRule type="expression" priority="46" dxfId="3">
      <formula>AND($J18="Blocked",K18&lt;&gt;"")</formula>
    </cfRule>
    <cfRule type="expression" priority="47" dxfId="4">
      <formula>AND($J18="Deferred",K18&lt;&gt;"")</formula>
    </cfRule>
    <cfRule type="expression" priority="48" dxfId="5">
      <formula>AND($J18="Contingency",K18&lt;&gt;"")</formula>
    </cfRule>
  </conditionalFormatting>
  <conditionalFormatting sqref="K19:DD19">
    <cfRule type="expression" priority="49" dxfId="0">
      <formula>AND($J19="Not Started",K19&lt;&gt;"")</formula>
    </cfRule>
    <cfRule type="expression" priority="50" dxfId="1">
      <formula>AND($J19="In Progress",K19&lt;&gt;"")</formula>
    </cfRule>
    <cfRule type="expression" priority="51" dxfId="2">
      <formula>AND($J19="Done",K19&lt;&gt;"")</formula>
    </cfRule>
    <cfRule type="expression" priority="52" dxfId="3">
      <formula>AND($J19="Blocked",K19&lt;&gt;"")</formula>
    </cfRule>
    <cfRule type="expression" priority="53" dxfId="4">
      <formula>AND($J19="Deferred",K19&lt;&gt;"")</formula>
    </cfRule>
    <cfRule type="expression" priority="54" dxfId="5">
      <formula>AND($J19="Contingency",K19&lt;&gt;"")</formula>
    </cfRule>
  </conditionalFormatting>
  <conditionalFormatting sqref="K20:DD20">
    <cfRule type="expression" priority="55" dxfId="0">
      <formula>AND($J20="Not Started",K20&lt;&gt;"")</formula>
    </cfRule>
    <cfRule type="expression" priority="56" dxfId="1">
      <formula>AND($J20="In Progress",K20&lt;&gt;"")</formula>
    </cfRule>
    <cfRule type="expression" priority="57" dxfId="2">
      <formula>AND($J20="Done",K20&lt;&gt;"")</formula>
    </cfRule>
    <cfRule type="expression" priority="58" dxfId="3">
      <formula>AND($J20="Blocked",K20&lt;&gt;"")</formula>
    </cfRule>
    <cfRule type="expression" priority="59" dxfId="4">
      <formula>AND($J20="Deferred",K20&lt;&gt;"")</formula>
    </cfRule>
    <cfRule type="expression" priority="60" dxfId="5">
      <formula>AND($J20="Contingency",K20&lt;&gt;"")</formula>
    </cfRule>
  </conditionalFormatting>
  <conditionalFormatting sqref="K21:DD21">
    <cfRule type="expression" priority="61" dxfId="0">
      <formula>AND($J21="Not Started",K21&lt;&gt;"")</formula>
    </cfRule>
    <cfRule type="expression" priority="62" dxfId="1">
      <formula>AND($J21="In Progress",K21&lt;&gt;"")</formula>
    </cfRule>
    <cfRule type="expression" priority="63" dxfId="2">
      <formula>AND($J21="Done",K21&lt;&gt;"")</formula>
    </cfRule>
    <cfRule type="expression" priority="64" dxfId="3">
      <formula>AND($J21="Blocked",K21&lt;&gt;"")</formula>
    </cfRule>
    <cfRule type="expression" priority="65" dxfId="4">
      <formula>AND($J21="Deferred",K21&lt;&gt;"")</formula>
    </cfRule>
    <cfRule type="expression" priority="66" dxfId="5">
      <formula>AND($J21="Contingency",K21&lt;&gt;"")</formula>
    </cfRule>
  </conditionalFormatting>
  <conditionalFormatting sqref="K22:DD22">
    <cfRule type="expression" priority="67" dxfId="0">
      <formula>AND($J22="Not Started",K22&lt;&gt;"")</formula>
    </cfRule>
    <cfRule type="expression" priority="68" dxfId="1">
      <formula>AND($J22="In Progress",K22&lt;&gt;"")</formula>
    </cfRule>
    <cfRule type="expression" priority="69" dxfId="2">
      <formula>AND($J22="Done",K22&lt;&gt;"")</formula>
    </cfRule>
    <cfRule type="expression" priority="70" dxfId="3">
      <formula>AND($J22="Blocked",K22&lt;&gt;"")</formula>
    </cfRule>
    <cfRule type="expression" priority="71" dxfId="4">
      <formula>AND($J22="Deferred",K22&lt;&gt;"")</formula>
    </cfRule>
    <cfRule type="expression" priority="72" dxfId="5">
      <formula>AND($J22="Contingency",K22&lt;&gt;"")</formula>
    </cfRule>
  </conditionalFormatting>
  <conditionalFormatting sqref="K23:DD23">
    <cfRule type="expression" priority="73" dxfId="0">
      <formula>AND($J23="Not Started",K23&lt;&gt;"")</formula>
    </cfRule>
    <cfRule type="expression" priority="74" dxfId="1">
      <formula>AND($J23="In Progress",K23&lt;&gt;"")</formula>
    </cfRule>
    <cfRule type="expression" priority="75" dxfId="2">
      <formula>AND($J23="Done",K23&lt;&gt;"")</formula>
    </cfRule>
    <cfRule type="expression" priority="76" dxfId="3">
      <formula>AND($J23="Blocked",K23&lt;&gt;"")</formula>
    </cfRule>
    <cfRule type="expression" priority="77" dxfId="4">
      <formula>AND($J23="Deferred",K23&lt;&gt;"")</formula>
    </cfRule>
    <cfRule type="expression" priority="78" dxfId="5">
      <formula>AND($J23="Contingency",K23&lt;&gt;"")</formula>
    </cfRule>
  </conditionalFormatting>
  <conditionalFormatting sqref="K24:DD24">
    <cfRule type="expression" priority="79" dxfId="0">
      <formula>AND($J24="Not Started",K24&lt;&gt;"")</formula>
    </cfRule>
    <cfRule type="expression" priority="80" dxfId="1">
      <formula>AND($J24="In Progress",K24&lt;&gt;"")</formula>
    </cfRule>
    <cfRule type="expression" priority="81" dxfId="2">
      <formula>AND($J24="Done",K24&lt;&gt;"")</formula>
    </cfRule>
    <cfRule type="expression" priority="82" dxfId="3">
      <formula>AND($J24="Blocked",K24&lt;&gt;"")</formula>
    </cfRule>
    <cfRule type="expression" priority="83" dxfId="4">
      <formula>AND($J24="Deferred",K24&lt;&gt;"")</formula>
    </cfRule>
    <cfRule type="expression" priority="84" dxfId="5">
      <formula>AND($J24="Contingency",K24&lt;&gt;"")</formula>
    </cfRule>
  </conditionalFormatting>
  <conditionalFormatting sqref="K25:DD25">
    <cfRule type="expression" priority="85" dxfId="0">
      <formula>AND($J25="Not Started",K25&lt;&gt;"")</formula>
    </cfRule>
    <cfRule type="expression" priority="86" dxfId="1">
      <formula>AND($J25="In Progress",K25&lt;&gt;"")</formula>
    </cfRule>
    <cfRule type="expression" priority="87" dxfId="2">
      <formula>AND($J25="Done",K25&lt;&gt;"")</formula>
    </cfRule>
    <cfRule type="expression" priority="88" dxfId="3">
      <formula>AND($J25="Blocked",K25&lt;&gt;"")</formula>
    </cfRule>
    <cfRule type="expression" priority="89" dxfId="4">
      <formula>AND($J25="Deferred",K25&lt;&gt;"")</formula>
    </cfRule>
    <cfRule type="expression" priority="90" dxfId="5">
      <formula>AND($J25="Contingency",K25&lt;&gt;"")</formula>
    </cfRule>
  </conditionalFormatting>
  <conditionalFormatting sqref="K26:DD26">
    <cfRule type="expression" priority="91" dxfId="0">
      <formula>AND($J26="Not Started",K26&lt;&gt;"")</formula>
    </cfRule>
    <cfRule type="expression" priority="92" dxfId="1">
      <formula>AND($J26="In Progress",K26&lt;&gt;"")</formula>
    </cfRule>
    <cfRule type="expression" priority="93" dxfId="2">
      <formula>AND($J26="Done",K26&lt;&gt;"")</formula>
    </cfRule>
    <cfRule type="expression" priority="94" dxfId="3">
      <formula>AND($J26="Blocked",K26&lt;&gt;"")</formula>
    </cfRule>
    <cfRule type="expression" priority="95" dxfId="4">
      <formula>AND($J26="Deferred",K26&lt;&gt;"")</formula>
    </cfRule>
    <cfRule type="expression" priority="96" dxfId="5">
      <formula>AND($J26="Contingency",K26&lt;&gt;"")</formula>
    </cfRule>
  </conditionalFormatting>
  <conditionalFormatting sqref="K27:DD27">
    <cfRule type="expression" priority="97" dxfId="0">
      <formula>AND($J27="Not Started",K27&lt;&gt;"")</formula>
    </cfRule>
    <cfRule type="expression" priority="98" dxfId="1">
      <formula>AND($J27="In Progress",K27&lt;&gt;"")</formula>
    </cfRule>
    <cfRule type="expression" priority="99" dxfId="2">
      <formula>AND($J27="Done",K27&lt;&gt;"")</formula>
    </cfRule>
    <cfRule type="expression" priority="100" dxfId="3">
      <formula>AND($J27="Blocked",K27&lt;&gt;"")</formula>
    </cfRule>
    <cfRule type="expression" priority="101" dxfId="4">
      <formula>AND($J27="Deferred",K27&lt;&gt;"")</formula>
    </cfRule>
    <cfRule type="expression" priority="102" dxfId="5">
      <formula>AND($J27="Contingency",K27&lt;&gt;"")</formula>
    </cfRule>
  </conditionalFormatting>
  <conditionalFormatting sqref="K28:DD28">
    <cfRule type="expression" priority="103" dxfId="0">
      <formula>AND($J28="Not Started",K28&lt;&gt;"")</formula>
    </cfRule>
    <cfRule type="expression" priority="104" dxfId="1">
      <formula>AND($J28="In Progress",K28&lt;&gt;"")</formula>
    </cfRule>
    <cfRule type="expression" priority="105" dxfId="2">
      <formula>AND($J28="Done",K28&lt;&gt;"")</formula>
    </cfRule>
    <cfRule type="expression" priority="106" dxfId="3">
      <formula>AND($J28="Blocked",K28&lt;&gt;"")</formula>
    </cfRule>
    <cfRule type="expression" priority="107" dxfId="4">
      <formula>AND($J28="Deferred",K28&lt;&gt;"")</formula>
    </cfRule>
    <cfRule type="expression" priority="108" dxfId="5">
      <formula>AND($J28="Contingency",K28&lt;&gt;"")</formula>
    </cfRule>
  </conditionalFormatting>
  <hyperlinks>
    <hyperlink ref="A3" location="'Cover Page'!A1" display="← Cover Page"/>
  </hyperlinks>
  <pageMargins left="0.7" right="0.7" top="0.75" bottom="0.75" header="0.3" footer="0.3"/>
  <pageSetup orientation="landscape" paperSize="8" fitToHeight="0"/>
  <headerFooter>
    <oddHeader/>
    <oddFooter>&amp;CSenticRAG | Kế hoạch triển khai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087E8B"/>
    <outlinePr summaryBelow="1" summaryRight="1"/>
    <pageSetUpPr fitToPage="1"/>
  </sheetPr>
  <dimension ref="A1:O13"/>
  <sheetViews>
    <sheetView showGridLines="0" zoomScale="85" zoomScaleNormal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38.7109375" customWidth="1" min="2" max="2"/>
    <col width="14.7109375" customWidth="1" min="3" max="5"/>
    <col width="56.7109375" customWidth="1" min="6" max="6"/>
    <col width="65.7109375" customWidth="1" min="7" max="8"/>
    <col width="70.7109375" customWidth="1" min="9" max="9"/>
    <col width="30.7109375" customWidth="1" min="10" max="10"/>
    <col width="55.7109375" customWidth="1" min="11" max="11"/>
    <col width="65.7109375" customWidth="1" min="12" max="12"/>
    <col width="55.7109375" customWidth="1" min="13" max="13"/>
    <col width="23.7109375" customWidth="1" min="14" max="14"/>
    <col width="10.7109375" customWidth="1" min="15" max="15"/>
  </cols>
  <sheetData>
    <row r="1" ht="36" customHeight="1">
      <c r="A1" s="7" t="inlineStr">
        <is>
          <t>MILESTONE DETAILS | input, output và cách hoàn thành</t>
        </is>
      </c>
    </row>
    <row r="2" ht="36" customHeight="1">
      <c r="A2" s="8" t="inlineStr">
        <is>
          <t>Mọi giai đoạn triển khai nối tiếp bởi một người. Entry gate không đạt thì các việc phụ thuộc phải dừng/sửa hoặc rebaseline.</t>
        </is>
      </c>
    </row>
    <row r="3">
      <c r="A3" s="9" t="inlineStr">
        <is>
          <t>← Cover Page</t>
        </is>
      </c>
    </row>
    <row r="4" ht="33.75" customHeight="1">
      <c r="A4" s="26" t="inlineStr">
        <is>
          <t>ID</t>
        </is>
      </c>
      <c r="B4" s="26" t="inlineStr">
        <is>
          <t>Giai đoạn</t>
        </is>
      </c>
      <c r="C4" s="26" t="inlineStr">
        <is>
          <t>Tuần</t>
        </is>
      </c>
      <c r="D4" s="26" t="inlineStr">
        <is>
          <t>Bắt đầu</t>
        </is>
      </c>
      <c r="E4" s="26" t="inlineStr">
        <is>
          <t>Kết thúc</t>
        </is>
      </c>
      <c r="F4" s="26" t="inlineStr">
        <is>
          <t>Mục tiêu</t>
        </is>
      </c>
      <c r="G4" s="26" t="inlineStr">
        <is>
          <t>Entry criteria / phụ thuộc</t>
        </is>
      </c>
      <c r="H4" s="26" t="inlineStr">
        <is>
          <t>Input</t>
        </is>
      </c>
      <c r="I4" s="26" t="inlineStr">
        <is>
          <t>Output / bàn giao</t>
        </is>
      </c>
      <c r="J4" s="26" t="inlineStr">
        <is>
          <t>Modules</t>
        </is>
      </c>
      <c r="K4" s="26" t="inlineStr">
        <is>
          <t>Công nghệ</t>
        </is>
      </c>
      <c r="L4" s="26" t="inlineStr">
        <is>
          <t>Demo / cách nghiệm thu</t>
        </is>
      </c>
      <c r="M4" s="26" t="inlineStr">
        <is>
          <t>User story coverage</t>
        </is>
      </c>
      <c r="N4" s="26" t="inlineStr">
        <is>
          <t>Ngày công</t>
        </is>
      </c>
      <c r="O4" s="26" t="inlineStr">
        <is>
          <t>Gate</t>
        </is>
      </c>
    </row>
    <row r="5" ht="45.75" customHeight="1">
      <c r="A5" s="27" t="inlineStr">
        <is>
          <t>M0</t>
        </is>
      </c>
      <c r="B5" s="27" t="inlineStr">
        <is>
          <t>Thiết kế chatbot và khóa phạm vi</t>
        </is>
      </c>
      <c r="C5" s="27" t="inlineStr">
        <is>
          <t>W1–W1</t>
        </is>
      </c>
      <c r="D5" s="28" t="n">
        <v>46321</v>
      </c>
      <c r="E5" s="28" t="n">
        <v>46325</v>
      </c>
      <c r="F5" s="27" t="inlineStr">
        <is>
          <t>Chốt kiến trúc hội thoại trước, hợp đồng dùng chung và tiêu chí 14 tuần cho một người.</t>
        </is>
      </c>
      <c r="G5" s="27" t="inlineStr">
        <is>
          <t>START; 1 người, 5 ngày làm việc/tuần; kiểm kê API key, máy/GPU, cloud và quyền dữ liệu.</t>
        </is>
      </c>
      <c r="H5" s="27" t="inlineStr">
        <is>
          <t>Architecture, 5 user stories, mã khung hiện tại, dữ liệu crawl và mẫu Excel.</t>
        </is>
      </c>
      <c r="I5" s="27" t="inlineStr">
        <is>
          <t>Thiết kế chatbot, contract v1, wireframe, backlog, quyết định kỹ thuật và bộ kịch bản nghiệm thu.</t>
        </is>
      </c>
      <c r="J5" s="27" t="inlineStr">
        <is>
          <t>MOD-01, MOD-03, MOD-04, MOD-12</t>
        </is>
      </c>
      <c r="K5" s="27" t="inlineStr">
        <is>
          <t>FastAPI/Pydantic; PostgreSQL; React/TypeScript (đề xuất); Docker Compose</t>
        </is>
      </c>
      <c r="L5" s="27" t="inlineStr">
        <is>
          <t>Walkthrough 3 lượt: hỏi chính sách → hỏi tiếp → thiếu bằng chứng/chuyển người xử lý.</t>
        </is>
      </c>
      <c r="M5" s="27" t="inlineStr">
        <is>
          <t>US-BUY-01 nền tảng; thiết kế đủ US-AGENT/ANALYST/PM/STEWARD</t>
        </is>
      </c>
      <c r="N5" s="27" t="inlineStr">
        <is>
          <t>4 core + 1 reserve</t>
        </is>
      </c>
      <c r="O5" s="27" t="inlineStr">
        <is>
          <t>G0</t>
        </is>
      </c>
    </row>
    <row r="6" ht="45.75" customHeight="1">
      <c r="A6" s="29" t="inlineStr">
        <is>
          <t>M1</t>
        </is>
      </c>
      <c r="B6" s="29" t="inlineStr">
        <is>
          <t>Chuẩn hóa dữ liệu chính sách cho chatbot</t>
        </is>
      </c>
      <c r="C6" s="29" t="inlineStr">
        <is>
          <t>W2–W2</t>
        </is>
      </c>
      <c r="D6" s="30" t="n">
        <v>46328</v>
      </c>
      <c r="E6" s="30" t="n">
        <v>46332</v>
      </c>
      <c r="F6" s="29" t="inlineStr">
        <is>
          <t>Biến dữ liệu crawl thành knowledge base được kiểm duyệt và truy nguồn.</t>
        </is>
      </c>
      <c r="G6" s="29" t="inlineStr">
        <is>
          <t>G0 PASS; tài liệu có quyền sử dụng; chốt phạm vi demo 5–10 policy (~30 điều khoản).</t>
        </is>
      </c>
      <c r="H6" s="29" t="inlineStr">
        <is>
          <t>Raw HTML/text/page.json/report từ Data_crawling; tài liệu do người dùng cung cấp.</t>
        </is>
      </c>
      <c r="I6" s="29" t="inlineStr">
        <is>
          <t>PolicyDocument/PolicyChunk đã duyệt; catalog nguồn; ingest report; policy-QA và privacy fixtures.</t>
        </is>
      </c>
      <c r="J6" s="29" t="inlineStr">
        <is>
          <t>MOD-02, MOD-06, MOD-12</t>
        </is>
      </c>
      <c r="K6" s="29" t="inlineStr">
        <is>
          <t>Python parser; Pydantic; PostgreSQL; JSONL; regex + NER</t>
        </is>
      </c>
      <c r="L6" s="29" t="inlineStr">
        <is>
          <t>Từ URL gốc → nội dung sạch → đoạn trích chứa đủ điều kiện/ngoại lệ.</t>
        </is>
      </c>
      <c r="M6" s="29" t="inlineStr">
        <is>
          <t>US-BUY-01 / US-AGENT-01 nguồn chính sách; US-STEWARD-01 duyệt tài liệu</t>
        </is>
      </c>
      <c r="N6" s="29" t="inlineStr">
        <is>
          <t>4 core + 1 reserve</t>
        </is>
      </c>
      <c r="O6" s="29" t="inlineStr">
        <is>
          <t>G1</t>
        </is>
      </c>
    </row>
    <row r="7" ht="45.75" customHeight="1">
      <c r="A7" s="27" t="inlineStr">
        <is>
          <t>M2</t>
        </is>
      </c>
      <c r="B7" s="27" t="inlineStr">
        <is>
          <t>Chatbot RAG đầu tiên chạy xuyên suốt</t>
        </is>
      </c>
      <c r="C7" s="27" t="inlineStr">
        <is>
          <t>W3–W4</t>
        </is>
      </c>
      <c r="D7" s="28" t="n">
        <v>46335</v>
      </c>
      <c r="E7" s="28" t="n">
        <v>46346</v>
      </c>
      <c r="F7" s="27" t="inlineStr">
        <is>
          <t>Bàn giao chatbot tiếng Việt có hội thoại, evidence và fallback trên dữ liệu thật đã làm sạch.</t>
        </is>
      </c>
      <c r="G7" s="27" t="inlineStr">
        <is>
          <t>G1 PASS; API key/provider hoặc mô hình local chạy được; máy đủ embedding corpus nhỏ.</t>
        </is>
      </c>
      <c r="H7" s="27" t="inlineStr">
        <is>
          <t>Policy chunks approved, contracts/chat wireframe, golden sets, provider cấu hình được.</t>
        </is>
      </c>
      <c r="I7" s="27" t="inlineStr">
        <is>
          <t>Chat UI + API + history + retrieval + grounded generation; Docker demo; báo cáo benchmark ban đầu.</t>
        </is>
      </c>
      <c r="J7" s="27" t="inlineStr">
        <is>
          <t>MOD-01, MOD-03, MOD-04, MOD-12</t>
        </is>
      </c>
      <c r="K7" s="27" t="inlineStr">
        <is>
          <t>FastAPI; React/TypeScript; PostgreSQL; Redis; Qdrant; BM25/RRF; LLM API; BGE candidate</t>
        </is>
      </c>
      <c r="L7" s="27" t="inlineStr">
        <is>
          <t>Hỏi đổi trả → hỏi tiếp ngoại lệ → hiện nguồn; câu không đủ evidence → clarification/handoff.</t>
        </is>
      </c>
      <c r="M7" s="27" t="inlineStr">
        <is>
          <t>US-BUY-01 mức policy Q&amp;A; US-AGENT-01 evidence nền tảng; chưa đủ full story</t>
        </is>
      </c>
      <c r="N7" s="27" t="inlineStr">
        <is>
          <t>9 core + 1 reserve</t>
        </is>
      </c>
      <c r="O7" s="27" t="inlineStr">
        <is>
          <t>G2</t>
        </is>
      </c>
    </row>
    <row r="8" ht="45.75" customHeight="1">
      <c r="A8" s="29" t="inlineStr">
        <is>
          <t>M3</t>
        </is>
      </c>
      <c r="B8" s="29" t="inlineStr">
        <is>
          <t>Chatbot theo đơn hàng và Copilot CSKH</t>
        </is>
      </c>
      <c r="C8" s="29" t="inlineStr">
        <is>
          <t>W5–W6</t>
        </is>
      </c>
      <c r="D8" s="30" t="n">
        <v>46349</v>
      </c>
      <c r="E8" s="30" t="n">
        <v>46360</v>
      </c>
      <c r="F8" s="29" t="inlineStr">
        <is>
          <t>Thêm quyết định chính sách có kiểm soát, chuyển người xử lý và lưu outcome.</t>
        </is>
      </c>
      <c r="G8" s="29" t="inlineStr">
        <is>
          <t>G2 PASS; data demo được đánh dấu synthetic; quyền CRM thật chỉ cần khi chọn live adapter.</t>
        </is>
      </c>
      <c r="H8" s="29" t="inlineStr">
        <is>
          <t>Chatbot G2; policy clauses; seed products/orders/customers; resolution scenarios.</t>
        </is>
      </c>
      <c r="I8" s="29" t="inlineStr">
        <is>
          <t>Policy engine + customer tools + FSM + Agent Workspace; ticket/action/outcome và phản hồi được lưu.</t>
        </is>
      </c>
      <c r="J8" s="29" t="inlineStr">
        <is>
          <t>MOD-01, MOD-03, MOD-05, MOD-06, MOD-11, MOD-12</t>
        </is>
      </c>
      <c r="K8" s="29" t="inlineStr">
        <is>
          <t>PostgreSQL; deterministic rules; FastAPI; MCP adapters; React; bounded FSM</t>
        </is>
      </c>
      <c r="L8" s="29" t="inlineStr">
        <is>
          <t>Đơn còn hạn → draft có điều kiện; hết hạn/không sở hữu đơn → không hứa quyền lợi; agent sửa/duyệt/escalate.</t>
        </is>
      </c>
      <c r="M8" s="29" t="inlineStr">
        <is>
          <t>US-BUY-01 resolution path; US-AGENT-01 workspace/outcomes; ABSA tự động bổ sung M4</t>
        </is>
      </c>
      <c r="N8" s="29" t="inlineStr">
        <is>
          <t>9 core + 1 reserve</t>
        </is>
      </c>
      <c r="O8" s="29" t="inlineStr">
        <is>
          <t>G3</t>
        </is>
      </c>
    </row>
    <row r="9" ht="45.75" customHeight="1">
      <c r="A9" s="27" t="inlineStr">
        <is>
          <t>M4</t>
        </is>
      </c>
      <c r="B9" s="27" t="inlineStr">
        <is>
          <t>ABSA và ingestion toàn corpus</t>
        </is>
      </c>
      <c r="C9" s="27" t="inlineStr">
        <is>
          <t>W7–W8</t>
        </is>
      </c>
      <c r="D9" s="28" t="n">
        <v>46363</v>
      </c>
      <c r="E9" s="28" t="n">
        <v>46374</v>
      </c>
      <c r="F9" s="27" t="inlineStr">
        <is>
          <t>Tạo dữ liệu sentiment/aspect thật để triage và thống kê toàn bộ corpus.</t>
        </is>
      </c>
      <c r="G9" s="27" t="inlineStr">
        <is>
          <t>G3 PASS; chốt dataset/license/splits tại M0; compute đã sẵn hoặc candidate không chạy ghi BLOCKED.</t>
        </is>
      </c>
      <c r="H9" s="27" t="inlineStr">
        <is>
          <t>Review/ticket/chat đã mask; UIT-ViSFD/ViSD4SA được phép sử dụng; taxonomy; corrections.</t>
        </is>
      </c>
      <c r="I9" s="27" t="inlineStr">
        <is>
          <t>Baseline + candidate ABSA, report, model card; predictions có version; async worker + router; triage tự động.</t>
        </is>
      </c>
      <c r="J9" s="27" t="inlineStr">
        <is>
          <t>MOD-02, MOD-07, MOD-12</t>
        </is>
      </c>
      <c r="K9" s="27" t="inlineStr">
        <is>
          <t>scikit-learn; PyTorch/Transformers/PhoBERT candidate; PostgreSQL; Redis Streams</t>
        </is>
      </c>
      <c r="L9" s="27" t="inlineStr">
        <is>
          <t>“Máy đẹp nhưng pin yếu” → hai aspect/polarity; toàn corpus được xử lý, ticket card có triage thật.</t>
        </is>
      </c>
      <c r="M9" s="27" t="inlineStr">
        <is>
          <t>Hoàn thiện BUY-AC-01; US-AGENT-01 triage; nền US-ANALYST-01/US-PM-01</t>
        </is>
      </c>
      <c r="N9" s="27" t="inlineStr">
        <is>
          <t>9 core + 1 reserve</t>
        </is>
      </c>
      <c r="O9" s="27" t="inlineStr">
        <is>
          <t>G4</t>
        </is>
      </c>
    </row>
    <row r="10" ht="45.75" customHeight="1">
      <c r="A10" s="29" t="inlineStr">
        <is>
          <t>M5</t>
        </is>
      </c>
      <c r="B10" s="29" t="inlineStr">
        <is>
          <t>Dashboard toàn corpus và điều tra bằng evidence</t>
        </is>
      </c>
      <c r="C10" s="29" t="inlineStr">
        <is>
          <t>W9–W9</t>
        </is>
      </c>
      <c r="D10" s="30" t="n">
        <v>46377</v>
      </c>
      <c r="E10" s="30" t="n">
        <v>46381</v>
      </c>
      <c r="F10" s="29" t="inlineStr">
        <is>
          <t>Nối thống kê toàn bộ dữ liệu với truy xuất các trường hợp đại diện.</t>
        </is>
      </c>
      <c r="G10" s="29" t="inlineStr">
        <is>
          <t>G4 PASS hoặc demo hạn chế được ghi rõ; model/index snapshot đồng nhất.</t>
        </is>
      </c>
      <c r="H10" s="29" t="inlineStr">
        <is>
          <t>Versioned ABSA predictions, review metadata, ticket outcomes, retrieval service.</t>
        </is>
      </c>
      <c r="I10" s="29" t="inlineStr">
        <is>
          <t>Analyst/PM dashboard, population/denominator, anomaly alert, drill-down giữ nguyên filters, benchmark review retrieval.</t>
        </is>
      </c>
      <c r="J10" s="29" t="inlineStr">
        <is>
          <t>MOD-04, MOD-09, MOD-10</t>
        </is>
      </c>
      <c r="K10" s="29" t="inlineStr">
        <is>
          <t>PostgreSQL aggregates; React charts; Qdrant; RRF/reranker; scheduled worker</t>
        </is>
      </c>
      <c r="L10" s="29" t="inlineStr">
        <is>
          <t>Click spike pin theo firmware → xem 5–10 cases cùng cohort; không dùng Top-K làm tỷ lệ toàn corpus.</t>
        </is>
      </c>
      <c r="M10" s="29" t="inlineStr">
        <is>
          <t>US-ANALYST-01 quant→qual; US-PM-01 trend/outcome; graph enrichment ở M6</t>
        </is>
      </c>
      <c r="N10" s="29" t="inlineStr">
        <is>
          <t>4 core + 1 reserve</t>
        </is>
      </c>
      <c r="O10" s="29" t="inlineStr">
        <is>
          <t>G5</t>
        </is>
      </c>
    </row>
    <row r="11" ht="45.75" customHeight="1">
      <c r="A11" s="27" t="inlineStr">
        <is>
          <t>M6</t>
        </is>
      </c>
      <c r="B11" s="27" t="inlineStr">
        <is>
          <t>GraphRAG và quản trị tri thức</t>
        </is>
      </c>
      <c r="C11" s="27" t="inlineStr">
        <is>
          <t>W10–W11</t>
        </is>
      </c>
      <c r="D11" s="28" t="n">
        <v>46384</v>
      </c>
      <c r="E11" s="28" t="n">
        <v>46395</v>
      </c>
      <c r="F11" s="27" t="inlineStr">
        <is>
          <t>Liên kết issue/version/cause/policy/resolution, đưa kết luận đã duyệt trở lại chatbot.</t>
        </is>
      </c>
      <c r="G11" s="27" t="inlineStr">
        <is>
          <t>G5 PASS; ontology canonical thống nhất giữa blueprint và schema rút gọn.</t>
        </is>
      </c>
      <c r="H11" s="27" t="inlineStr">
        <is>
          <t>Evidence cohorts, taxonomy, product versions, policy registry, confirmed synthetic known issues.</t>
        </is>
      </c>
      <c r="I11" s="27" t="inlineStr">
        <is>
          <t>Ontology v1 + Neo4j + graph traversal; analyst/steward UI; knowledge publish/rollback; chatbot có evidence graph.</t>
        </is>
      </c>
      <c r="J11" s="27" t="inlineStr">
        <is>
          <t>MOD-04, MOD-06, MOD-08, MOD-10, MOD-11</t>
        </is>
      </c>
      <c r="K11" s="27" t="inlineStr">
        <is>
          <t>Neo4j; Cypher; Python driver; PostgreSQL approval log; React</t>
        </is>
      </c>
      <c r="L11" s="27" t="inlineStr">
        <is>
          <t>Spike → analyst hypothesis → steward approve → publish → ticket mới nhận draft dựa trên cause confirmed.</t>
        </is>
      </c>
      <c r="M11" s="27" t="inlineStr">
        <is>
          <t>Hoàn thiện US-ANALYST-01, US-STEWARD-01; graph context cho US-BUY/AGENT/PM</t>
        </is>
      </c>
      <c r="N11" s="27" t="inlineStr">
        <is>
          <t>9 core + 1 reserve</t>
        </is>
      </c>
      <c r="O11" s="27" t="inlineStr">
        <is>
          <t>G6</t>
        </is>
      </c>
    </row>
    <row r="12" ht="45.75" customHeight="1">
      <c r="A12" s="29" t="inlineStr">
        <is>
          <t>M7</t>
        </is>
      </c>
      <c r="B12" s="29" t="inlineStr">
        <is>
          <t>Closed-loop feedback và cải thiện mô hình</t>
        </is>
      </c>
      <c r="C12" s="29" t="inlineStr">
        <is>
          <t>W12–W12</t>
        </is>
      </c>
      <c r="D12" s="30" t="n">
        <v>46398</v>
      </c>
      <c r="E12" s="30" t="n">
        <v>46402</v>
      </c>
      <c r="F12" s="29" t="inlineStr">
        <is>
          <t>Đưa chỉnh sửa đã duyệt vào dữ liệu đánh giá/huấn luyện và đo chất lượng qua phiên bản.</t>
        </is>
      </c>
      <c r="G12" s="29" t="inlineStr">
        <is>
          <t>G6 PASS; có correction fixtures và giới hạn training budget; test set vẫn locked.</t>
        </is>
      </c>
      <c r="H12" s="29" t="inlineStr">
        <is>
          <t>Agent edits, ABSA corrections, retrieval judgments, outcome events, stewardship logs.</t>
        </is>
      </c>
      <c r="I12" s="29" t="inlineStr">
        <is>
          <t>Versioned annotation datasets; active-learning queue; một retraining/eval cycle; drift monitors và publish decision.</t>
        </is>
      </c>
      <c r="J12" s="29" t="inlineStr">
        <is>
          <t>MOD-07, MOD-09, MOD-11, MOD-12</t>
        </is>
      </c>
      <c r="K12" s="29" t="inlineStr">
        <is>
          <t>PostgreSQL; Python export/retrain; existing model pipeline; OpenTelemetry/Prometheus</t>
        </is>
      </c>
      <c r="L12" s="29" t="inlineStr">
        <is>
          <t>Sửa nhãn → review → export dataset v2 → train candidate → regression → giữ/publish có lý do.</t>
        </is>
      </c>
      <c r="M12" s="29" t="inlineStr">
        <is>
          <t>US-AGENT-01 feedback; AN-AC-06; US-STEWARD-01 governed learning; US-PM-01 effectiveness</t>
        </is>
      </c>
      <c r="N12" s="29" t="inlineStr">
        <is>
          <t>4 core + 1 reserve</t>
        </is>
      </c>
      <c r="O12" s="29" t="inlineStr">
        <is>
          <t>G7</t>
        </is>
      </c>
    </row>
    <row r="13" ht="62.25" customHeight="1">
      <c r="A13" s="27" t="inlineStr">
        <is>
          <t>M8</t>
        </is>
      </c>
      <c r="B13" s="27" t="inlineStr">
        <is>
          <t>Tích hợp, vận hành và bàn giao</t>
        </is>
      </c>
      <c r="C13" s="27" t="inlineStr">
        <is>
          <t>W13–W14</t>
        </is>
      </c>
      <c r="D13" s="28" t="n">
        <v>46405</v>
      </c>
      <c r="E13" s="28" t="n">
        <v>46416</v>
      </c>
      <c r="F13" s="27" t="inlineStr">
        <is>
          <t>Chứng minh phạm vi demo 5 user stories; chuẩn bị release tái lập và ghi trung thực khoảng cách production.</t>
        </is>
      </c>
      <c r="G13" s="27" t="inlineStr">
        <is>
          <t>G7 PASS; live cloud cần account/budget/approval và reviewer; thiếu thì cloud gate BLOCKED, local demo vẫn báo riêng.</t>
        </is>
      </c>
      <c r="H13" s="27" t="inlineStr">
        <is>
          <t>G0–G7 evidence; candidate app/model/index/graph/policy; frozen eval; resource access.</t>
        </is>
      </c>
      <c r="I13" s="27" t="inlineStr">
        <is>
          <t>Release bundle, 5 UAT demos, eval suite, deploy/IaC package, runbooks, rollback evidence và coverage ledger.</t>
        </is>
      </c>
      <c r="J13" s="27" t="inlineStr">
        <is>
          <t>MOD-01..MOD-12</t>
        </is>
      </c>
      <c r="K13" s="27" t="inlineStr">
        <is>
          <t>Docker; GitHub Actions; Helm/Terraform/EKS target; OTel/Prometheus; pytest; load harness</t>
        </is>
      </c>
      <c r="L13" s="27" t="inlineStr">
        <is>
          <t>Tái dựng từ manifest; chạy 5 persona; ngắt dependency; rollback app/model/knowledge; xem báo cáo thật.</t>
        </is>
      </c>
      <c r="M13" s="27" t="inlineStr">
        <is>
          <t>Tất cả stories ở phạm vi demo; production/business KPI là gate riêng không tự nhận đã đạt</t>
        </is>
      </c>
      <c r="N13" s="27" t="inlineStr">
        <is>
          <t>8 core + 2 reserve</t>
        </is>
      </c>
      <c r="O13" s="27" t="inlineStr">
        <is>
          <t>G8</t>
        </is>
      </c>
    </row>
  </sheetData>
  <autoFilter ref="A4:O13"/>
  <mergeCells count="2">
    <mergeCell ref="A1:O1"/>
    <mergeCell ref="A2:O2"/>
  </mergeCells>
  <hyperlinks>
    <hyperlink ref="A3" location="'Cover Page'!A1" display="← Cover Page"/>
  </hyperlinks>
  <pageMargins left="0.7" right="0.7" top="0.75" bottom="0.75" header="0.3" footer="0.3"/>
  <pageSetup orientation="landscape" paperSize="8" fitToHeight="0"/>
  <headerFooter>
    <oddHeader/>
    <oddFooter>&amp;CSenticRAG | Kế hoạch triển khai |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087E8B"/>
    <outlinePr summaryBelow="1" summaryRight="1"/>
    <pageSetUpPr fitToPage="1"/>
  </sheetPr>
  <dimension ref="A1:DD94"/>
  <sheetViews>
    <sheetView showGridLines="0" zoomScale="75" zoomScaleNormal="75" workbookViewId="0">
      <pane xSplit="5" ySplit="10" topLeftCell="F11" activePane="bottomRight" state="frozen"/>
      <selection pane="topRight" activeCell="F1" sqref="F1"/>
      <selection pane="bottomLeft" activeCell="A11" sqref="A11"/>
      <selection pane="bottomRight" activeCell="A1" sqref="A1"/>
    </sheetView>
  </sheetViews>
  <sheetFormatPr baseColWidth="8" defaultRowHeight="15"/>
  <cols>
    <col width="3.28515625" customWidth="1" min="1" max="1"/>
    <col width="6.7109375" customWidth="1" min="2" max="2"/>
    <col width="3.7109375" customWidth="1" min="3" max="3"/>
    <col width="12.7109375" customWidth="1" min="4" max="4"/>
    <col width="50.7109375" customWidth="1" min="5" max="5"/>
    <col width="14.7109375" customWidth="1" min="6" max="7"/>
    <col width="22.7109375" customWidth="1" min="8" max="8"/>
    <col width="58.7109375" customWidth="1" min="9" max="9"/>
    <col width="16.7109375" customWidth="1" min="10" max="10"/>
    <col width="4.140625" customWidth="1" min="11" max="108"/>
  </cols>
  <sheetData>
    <row r="1" ht="36" customHeight="1">
      <c r="A1" s="7" t="inlineStr">
        <is>
          <t>WORK BREAKDOWN STRUCTURE | lịch từng công việc</t>
        </is>
      </c>
    </row>
    <row r="2" ht="36" customHeight="1">
      <c r="A2" s="8" t="inlineStr">
        <is>
          <t>1 người • 26/10/2026–31/01/2027 • 14 tuần • ngày T2–T6; 01/01 dành cho nghỉ dự kiến • màu biểu thị trạng thái kế hoạch</t>
        </is>
      </c>
    </row>
    <row r="3">
      <c r="A3" s="9" t="inlineStr">
        <is>
          <t>← Cover Page</t>
        </is>
      </c>
    </row>
    <row r="4">
      <c r="B4" s="10" t="inlineStr">
        <is>
          <t>Người thực hiện: Trần Đình Khương | mọi vai trò kỹ thuật đều do cùng một người đảm nhiệm.</t>
        </is>
      </c>
    </row>
    <row r="5">
      <c r="B5" s="11" t="inlineStr">
        <is>
          <t>Not Started / In Progress / Done / Blocked / Deferred / Contingency</t>
        </is>
      </c>
    </row>
    <row r="6">
      <c r="B6" s="10" t="inlineStr">
        <is>
          <t>Lịch và effort tính theo 0,5 ngày; xem Task Details để biết buổi bắt đầu và dependency.</t>
        </is>
      </c>
    </row>
    <row r="8" ht="24.75" customHeight="1">
      <c r="B8" s="12" t="inlineStr">
        <is>
          <t>Task</t>
        </is>
      </c>
      <c r="F8" s="12" t="inlineStr">
        <is>
          <t>Start date</t>
        </is>
      </c>
      <c r="G8" s="12" t="inlineStr">
        <is>
          <t>End date</t>
        </is>
      </c>
      <c r="H8" s="12" t="inlineStr">
        <is>
          <t>Responsibility</t>
        </is>
      </c>
      <c r="I8" s="12" t="inlineStr">
        <is>
          <t>Deliverable</t>
        </is>
      </c>
      <c r="J8" s="12" t="inlineStr">
        <is>
          <t>Task Status</t>
        </is>
      </c>
      <c r="K8" s="13" t="inlineStr">
        <is>
          <t>W1</t>
        </is>
      </c>
      <c r="R8" s="14" t="inlineStr">
        <is>
          <t>W2</t>
        </is>
      </c>
      <c r="Y8" s="13" t="inlineStr">
        <is>
          <t>W3</t>
        </is>
      </c>
      <c r="AF8" s="14" t="inlineStr">
        <is>
          <t>W4</t>
        </is>
      </c>
      <c r="AM8" s="13" t="inlineStr">
        <is>
          <t>W5</t>
        </is>
      </c>
      <c r="AT8" s="14" t="inlineStr">
        <is>
          <t>W6</t>
        </is>
      </c>
      <c r="BA8" s="13" t="inlineStr">
        <is>
          <t>W7</t>
        </is>
      </c>
      <c r="BH8" s="14" t="inlineStr">
        <is>
          <t>W8</t>
        </is>
      </c>
      <c r="BO8" s="13" t="inlineStr">
        <is>
          <t>W9</t>
        </is>
      </c>
      <c r="BV8" s="14" t="inlineStr">
        <is>
          <t>W10</t>
        </is>
      </c>
      <c r="CC8" s="13" t="inlineStr">
        <is>
          <t>W11</t>
        </is>
      </c>
      <c r="CJ8" s="14" t="inlineStr">
        <is>
          <t>W12</t>
        </is>
      </c>
      <c r="CQ8" s="13" t="inlineStr">
        <is>
          <t>W13</t>
        </is>
      </c>
      <c r="CX8" s="14" t="inlineStr">
        <is>
          <t>W14</t>
        </is>
      </c>
    </row>
    <row r="9" ht="18.75" customHeight="1">
      <c r="K9" s="15" t="inlineStr">
        <is>
          <t>T2</t>
        </is>
      </c>
      <c r="L9" s="15" t="inlineStr">
        <is>
          <t>T3</t>
        </is>
      </c>
      <c r="M9" s="15" t="inlineStr">
        <is>
          <t>T4</t>
        </is>
      </c>
      <c r="N9" s="15" t="inlineStr">
        <is>
          <t>T5</t>
        </is>
      </c>
      <c r="O9" s="15" t="inlineStr">
        <is>
          <t>T6</t>
        </is>
      </c>
      <c r="P9" s="16" t="inlineStr">
        <is>
          <t>T7</t>
        </is>
      </c>
      <c r="Q9" s="16" t="inlineStr">
        <is>
          <t>CN</t>
        </is>
      </c>
      <c r="R9" s="15" t="inlineStr">
        <is>
          <t>T2</t>
        </is>
      </c>
      <c r="S9" s="15" t="inlineStr">
        <is>
          <t>T3</t>
        </is>
      </c>
      <c r="T9" s="15" t="inlineStr">
        <is>
          <t>T4</t>
        </is>
      </c>
      <c r="U9" s="15" t="inlineStr">
        <is>
          <t>T5</t>
        </is>
      </c>
      <c r="V9" s="15" t="inlineStr">
        <is>
          <t>T6</t>
        </is>
      </c>
      <c r="W9" s="16" t="inlineStr">
        <is>
          <t>T7</t>
        </is>
      </c>
      <c r="X9" s="16" t="inlineStr">
        <is>
          <t>CN</t>
        </is>
      </c>
      <c r="Y9" s="15" t="inlineStr">
        <is>
          <t>T2</t>
        </is>
      </c>
      <c r="Z9" s="15" t="inlineStr">
        <is>
          <t>T3</t>
        </is>
      </c>
      <c r="AA9" s="15" t="inlineStr">
        <is>
          <t>T4</t>
        </is>
      </c>
      <c r="AB9" s="15" t="inlineStr">
        <is>
          <t>T5</t>
        </is>
      </c>
      <c r="AC9" s="15" t="inlineStr">
        <is>
          <t>T6</t>
        </is>
      </c>
      <c r="AD9" s="16" t="inlineStr">
        <is>
          <t>T7</t>
        </is>
      </c>
      <c r="AE9" s="16" t="inlineStr">
        <is>
          <t>CN</t>
        </is>
      </c>
      <c r="AF9" s="15" t="inlineStr">
        <is>
          <t>T2</t>
        </is>
      </c>
      <c r="AG9" s="15" t="inlineStr">
        <is>
          <t>T3</t>
        </is>
      </c>
      <c r="AH9" s="15" t="inlineStr">
        <is>
          <t>T4</t>
        </is>
      </c>
      <c r="AI9" s="15" t="inlineStr">
        <is>
          <t>T5</t>
        </is>
      </c>
      <c r="AJ9" s="15" t="inlineStr">
        <is>
          <t>T6</t>
        </is>
      </c>
      <c r="AK9" s="16" t="inlineStr">
        <is>
          <t>T7</t>
        </is>
      </c>
      <c r="AL9" s="16" t="inlineStr">
        <is>
          <t>CN</t>
        </is>
      </c>
      <c r="AM9" s="15" t="inlineStr">
        <is>
          <t>T2</t>
        </is>
      </c>
      <c r="AN9" s="15" t="inlineStr">
        <is>
          <t>T3</t>
        </is>
      </c>
      <c r="AO9" s="15" t="inlineStr">
        <is>
          <t>T4</t>
        </is>
      </c>
      <c r="AP9" s="15" t="inlineStr">
        <is>
          <t>T5</t>
        </is>
      </c>
      <c r="AQ9" s="15" t="inlineStr">
        <is>
          <t>T6</t>
        </is>
      </c>
      <c r="AR9" s="16" t="inlineStr">
        <is>
          <t>T7</t>
        </is>
      </c>
      <c r="AS9" s="16" t="inlineStr">
        <is>
          <t>CN</t>
        </is>
      </c>
      <c r="AT9" s="15" t="inlineStr">
        <is>
          <t>T2</t>
        </is>
      </c>
      <c r="AU9" s="15" t="inlineStr">
        <is>
          <t>T3</t>
        </is>
      </c>
      <c r="AV9" s="15" t="inlineStr">
        <is>
          <t>T4</t>
        </is>
      </c>
      <c r="AW9" s="15" t="inlineStr">
        <is>
          <t>T5</t>
        </is>
      </c>
      <c r="AX9" s="15" t="inlineStr">
        <is>
          <t>T6</t>
        </is>
      </c>
      <c r="AY9" s="16" t="inlineStr">
        <is>
          <t>T7</t>
        </is>
      </c>
      <c r="AZ9" s="16" t="inlineStr">
        <is>
          <t>CN</t>
        </is>
      </c>
      <c r="BA9" s="15" t="inlineStr">
        <is>
          <t>T2</t>
        </is>
      </c>
      <c r="BB9" s="15" t="inlineStr">
        <is>
          <t>T3</t>
        </is>
      </c>
      <c r="BC9" s="15" t="inlineStr">
        <is>
          <t>T4</t>
        </is>
      </c>
      <c r="BD9" s="15" t="inlineStr">
        <is>
          <t>T5</t>
        </is>
      </c>
      <c r="BE9" s="15" t="inlineStr">
        <is>
          <t>T6</t>
        </is>
      </c>
      <c r="BF9" s="16" t="inlineStr">
        <is>
          <t>T7</t>
        </is>
      </c>
      <c r="BG9" s="16" t="inlineStr">
        <is>
          <t>CN</t>
        </is>
      </c>
      <c r="BH9" s="15" t="inlineStr">
        <is>
          <t>T2</t>
        </is>
      </c>
      <c r="BI9" s="15" t="inlineStr">
        <is>
          <t>T3</t>
        </is>
      </c>
      <c r="BJ9" s="15" t="inlineStr">
        <is>
          <t>T4</t>
        </is>
      </c>
      <c r="BK9" s="15" t="inlineStr">
        <is>
          <t>T5</t>
        </is>
      </c>
      <c r="BL9" s="15" t="inlineStr">
        <is>
          <t>T6</t>
        </is>
      </c>
      <c r="BM9" s="16" t="inlineStr">
        <is>
          <t>T7</t>
        </is>
      </c>
      <c r="BN9" s="16" t="inlineStr">
        <is>
          <t>CN</t>
        </is>
      </c>
      <c r="BO9" s="15" t="inlineStr">
        <is>
          <t>T2</t>
        </is>
      </c>
      <c r="BP9" s="15" t="inlineStr">
        <is>
          <t>T3</t>
        </is>
      </c>
      <c r="BQ9" s="15" t="inlineStr">
        <is>
          <t>T4</t>
        </is>
      </c>
      <c r="BR9" s="15" t="inlineStr">
        <is>
          <t>T5</t>
        </is>
      </c>
      <c r="BS9" s="15" t="inlineStr">
        <is>
          <t>T6</t>
        </is>
      </c>
      <c r="BT9" s="16" t="inlineStr">
        <is>
          <t>T7</t>
        </is>
      </c>
      <c r="BU9" s="16" t="inlineStr">
        <is>
          <t>CN</t>
        </is>
      </c>
      <c r="BV9" s="15" t="inlineStr">
        <is>
          <t>T2</t>
        </is>
      </c>
      <c r="BW9" s="15" t="inlineStr">
        <is>
          <t>T3</t>
        </is>
      </c>
      <c r="BX9" s="15" t="inlineStr">
        <is>
          <t>T4</t>
        </is>
      </c>
      <c r="BY9" s="15" t="inlineStr">
        <is>
          <t>T5</t>
        </is>
      </c>
      <c r="BZ9" s="15" t="inlineStr">
        <is>
          <t>T6</t>
        </is>
      </c>
      <c r="CA9" s="16" t="inlineStr">
        <is>
          <t>T7</t>
        </is>
      </c>
      <c r="CB9" s="16" t="inlineStr">
        <is>
          <t>CN</t>
        </is>
      </c>
      <c r="CC9" s="15" t="inlineStr">
        <is>
          <t>T2</t>
        </is>
      </c>
      <c r="CD9" s="15" t="inlineStr">
        <is>
          <t>T3</t>
        </is>
      </c>
      <c r="CE9" s="15" t="inlineStr">
        <is>
          <t>T4</t>
        </is>
      </c>
      <c r="CF9" s="15" t="inlineStr">
        <is>
          <t>T5</t>
        </is>
      </c>
      <c r="CG9" s="15" t="inlineStr">
        <is>
          <t>T6</t>
        </is>
      </c>
      <c r="CH9" s="16" t="inlineStr">
        <is>
          <t>T7</t>
        </is>
      </c>
      <c r="CI9" s="16" t="inlineStr">
        <is>
          <t>CN</t>
        </is>
      </c>
      <c r="CJ9" s="15" t="inlineStr">
        <is>
          <t>T2</t>
        </is>
      </c>
      <c r="CK9" s="15" t="inlineStr">
        <is>
          <t>T3</t>
        </is>
      </c>
      <c r="CL9" s="15" t="inlineStr">
        <is>
          <t>T4</t>
        </is>
      </c>
      <c r="CM9" s="15" t="inlineStr">
        <is>
          <t>T5</t>
        </is>
      </c>
      <c r="CN9" s="15" t="inlineStr">
        <is>
          <t>T6</t>
        </is>
      </c>
      <c r="CO9" s="16" t="inlineStr">
        <is>
          <t>T7</t>
        </is>
      </c>
      <c r="CP9" s="16" t="inlineStr">
        <is>
          <t>CN</t>
        </is>
      </c>
      <c r="CQ9" s="15" t="inlineStr">
        <is>
          <t>T2</t>
        </is>
      </c>
      <c r="CR9" s="15" t="inlineStr">
        <is>
          <t>T3</t>
        </is>
      </c>
      <c r="CS9" s="15" t="inlineStr">
        <is>
          <t>T4</t>
        </is>
      </c>
      <c r="CT9" s="15" t="inlineStr">
        <is>
          <t>T5</t>
        </is>
      </c>
      <c r="CU9" s="15" t="inlineStr">
        <is>
          <t>T6</t>
        </is>
      </c>
      <c r="CV9" s="16" t="inlineStr">
        <is>
          <t>T7</t>
        </is>
      </c>
      <c r="CW9" s="16" t="inlineStr">
        <is>
          <t>CN</t>
        </is>
      </c>
      <c r="CX9" s="15" t="inlineStr">
        <is>
          <t>T2</t>
        </is>
      </c>
      <c r="CY9" s="15" t="inlineStr">
        <is>
          <t>T3</t>
        </is>
      </c>
      <c r="CZ9" s="15" t="inlineStr">
        <is>
          <t>T4</t>
        </is>
      </c>
      <c r="DA9" s="15" t="inlineStr">
        <is>
          <t>T5</t>
        </is>
      </c>
      <c r="DB9" s="15" t="inlineStr">
        <is>
          <t>T6</t>
        </is>
      </c>
      <c r="DC9" s="16" t="inlineStr">
        <is>
          <t>T7</t>
        </is>
      </c>
      <c r="DD9" s="16" t="inlineStr">
        <is>
          <t>CN</t>
        </is>
      </c>
    </row>
    <row r="10" ht="35.25" customHeight="1">
      <c r="K10" s="17" t="n">
        <v>46321</v>
      </c>
      <c r="L10" s="17" t="n">
        <v>46322</v>
      </c>
      <c r="M10" s="17" t="n">
        <v>46323</v>
      </c>
      <c r="N10" s="17" t="n">
        <v>46324</v>
      </c>
      <c r="O10" s="17" t="n">
        <v>46325</v>
      </c>
      <c r="P10" s="18" t="n">
        <v>46326</v>
      </c>
      <c r="Q10" s="18" t="n">
        <v>46327</v>
      </c>
      <c r="R10" s="17" t="n">
        <v>46328</v>
      </c>
      <c r="S10" s="17" t="n">
        <v>46329</v>
      </c>
      <c r="T10" s="17" t="n">
        <v>46330</v>
      </c>
      <c r="U10" s="17" t="n">
        <v>46331</v>
      </c>
      <c r="V10" s="17" t="n">
        <v>46332</v>
      </c>
      <c r="W10" s="18" t="n">
        <v>46333</v>
      </c>
      <c r="X10" s="18" t="n">
        <v>46334</v>
      </c>
      <c r="Y10" s="17" t="n">
        <v>46335</v>
      </c>
      <c r="Z10" s="17" t="n">
        <v>46336</v>
      </c>
      <c r="AA10" s="17" t="n">
        <v>46337</v>
      </c>
      <c r="AB10" s="17" t="n">
        <v>46338</v>
      </c>
      <c r="AC10" s="17" t="n">
        <v>46339</v>
      </c>
      <c r="AD10" s="18" t="n">
        <v>46340</v>
      </c>
      <c r="AE10" s="18" t="n">
        <v>46341</v>
      </c>
      <c r="AF10" s="17" t="n">
        <v>46342</v>
      </c>
      <c r="AG10" s="17" t="n">
        <v>46343</v>
      </c>
      <c r="AH10" s="17" t="n">
        <v>46344</v>
      </c>
      <c r="AI10" s="17" t="n">
        <v>46345</v>
      </c>
      <c r="AJ10" s="17" t="n">
        <v>46346</v>
      </c>
      <c r="AK10" s="18" t="n">
        <v>46347</v>
      </c>
      <c r="AL10" s="18" t="n">
        <v>46348</v>
      </c>
      <c r="AM10" s="17" t="n">
        <v>46349</v>
      </c>
      <c r="AN10" s="17" t="n">
        <v>46350</v>
      </c>
      <c r="AO10" s="17" t="n">
        <v>46351</v>
      </c>
      <c r="AP10" s="17" t="n">
        <v>46352</v>
      </c>
      <c r="AQ10" s="17" t="n">
        <v>46353</v>
      </c>
      <c r="AR10" s="18" t="n">
        <v>46354</v>
      </c>
      <c r="AS10" s="18" t="n">
        <v>46355</v>
      </c>
      <c r="AT10" s="17" t="n">
        <v>46356</v>
      </c>
      <c r="AU10" s="17" t="n">
        <v>46357</v>
      </c>
      <c r="AV10" s="17" t="n">
        <v>46358</v>
      </c>
      <c r="AW10" s="17" t="n">
        <v>46359</v>
      </c>
      <c r="AX10" s="17" t="n">
        <v>46360</v>
      </c>
      <c r="AY10" s="18" t="n">
        <v>46361</v>
      </c>
      <c r="AZ10" s="18" t="n">
        <v>46362</v>
      </c>
      <c r="BA10" s="17" t="n">
        <v>46363</v>
      </c>
      <c r="BB10" s="17" t="n">
        <v>46364</v>
      </c>
      <c r="BC10" s="17" t="n">
        <v>46365</v>
      </c>
      <c r="BD10" s="17" t="n">
        <v>46366</v>
      </c>
      <c r="BE10" s="17" t="n">
        <v>46367</v>
      </c>
      <c r="BF10" s="18" t="n">
        <v>46368</v>
      </c>
      <c r="BG10" s="18" t="n">
        <v>46369</v>
      </c>
      <c r="BH10" s="17" t="n">
        <v>46370</v>
      </c>
      <c r="BI10" s="17" t="n">
        <v>46371</v>
      </c>
      <c r="BJ10" s="17" t="n">
        <v>46372</v>
      </c>
      <c r="BK10" s="17" t="n">
        <v>46373</v>
      </c>
      <c r="BL10" s="17" t="n">
        <v>46374</v>
      </c>
      <c r="BM10" s="18" t="n">
        <v>46375</v>
      </c>
      <c r="BN10" s="18" t="n">
        <v>46376</v>
      </c>
      <c r="BO10" s="17" t="n">
        <v>46377</v>
      </c>
      <c r="BP10" s="17" t="n">
        <v>46378</v>
      </c>
      <c r="BQ10" s="17" t="n">
        <v>46379</v>
      </c>
      <c r="BR10" s="17" t="n">
        <v>46380</v>
      </c>
      <c r="BS10" s="17" t="n">
        <v>46381</v>
      </c>
      <c r="BT10" s="18" t="n">
        <v>46382</v>
      </c>
      <c r="BU10" s="18" t="n">
        <v>46383</v>
      </c>
      <c r="BV10" s="17" t="n">
        <v>46384</v>
      </c>
      <c r="BW10" s="17" t="n">
        <v>46385</v>
      </c>
      <c r="BX10" s="17" t="n">
        <v>46386</v>
      </c>
      <c r="BY10" s="17" t="n">
        <v>46387</v>
      </c>
      <c r="BZ10" s="17" t="n">
        <v>46388</v>
      </c>
      <c r="CA10" s="18" t="n">
        <v>46389</v>
      </c>
      <c r="CB10" s="18" t="n">
        <v>46390</v>
      </c>
      <c r="CC10" s="17" t="n">
        <v>46391</v>
      </c>
      <c r="CD10" s="17" t="n">
        <v>46392</v>
      </c>
      <c r="CE10" s="17" t="n">
        <v>46393</v>
      </c>
      <c r="CF10" s="17" t="n">
        <v>46394</v>
      </c>
      <c r="CG10" s="17" t="n">
        <v>46395</v>
      </c>
      <c r="CH10" s="18" t="n">
        <v>46396</v>
      </c>
      <c r="CI10" s="18" t="n">
        <v>46397</v>
      </c>
      <c r="CJ10" s="17" t="n">
        <v>46398</v>
      </c>
      <c r="CK10" s="17" t="n">
        <v>46399</v>
      </c>
      <c r="CL10" s="17" t="n">
        <v>46400</v>
      </c>
      <c r="CM10" s="17" t="n">
        <v>46401</v>
      </c>
      <c r="CN10" s="17" t="n">
        <v>46402</v>
      </c>
      <c r="CO10" s="18" t="n">
        <v>46403</v>
      </c>
      <c r="CP10" s="18" t="n">
        <v>46404</v>
      </c>
      <c r="CQ10" s="17" t="n">
        <v>46405</v>
      </c>
      <c r="CR10" s="17" t="n">
        <v>46406</v>
      </c>
      <c r="CS10" s="17" t="n">
        <v>46407</v>
      </c>
      <c r="CT10" s="17" t="n">
        <v>46408</v>
      </c>
      <c r="CU10" s="17" t="n">
        <v>46409</v>
      </c>
      <c r="CV10" s="18" t="n">
        <v>46410</v>
      </c>
      <c r="CW10" s="18" t="n">
        <v>46411</v>
      </c>
      <c r="CX10" s="17" t="n">
        <v>46412</v>
      </c>
      <c r="CY10" s="17" t="n">
        <v>46413</v>
      </c>
      <c r="CZ10" s="17" t="n">
        <v>46414</v>
      </c>
      <c r="DA10" s="17" t="n">
        <v>46415</v>
      </c>
      <c r="DB10" s="17" t="n">
        <v>46416</v>
      </c>
      <c r="DC10" s="18" t="n">
        <v>46417</v>
      </c>
      <c r="DD10" s="18" t="n">
        <v>46418</v>
      </c>
    </row>
    <row r="11" ht="87.75" customHeight="1">
      <c r="B11" s="19" t="inlineStr">
        <is>
          <t>M0</t>
        </is>
      </c>
      <c r="C11" s="39" t="n"/>
      <c r="D11" s="39" t="n"/>
      <c r="E11" s="19" t="inlineStr">
        <is>
          <t>Thiết kế chatbot và khóa phạm vi</t>
        </is>
      </c>
      <c r="F11" s="20" t="n">
        <v>46321</v>
      </c>
      <c r="G11" s="20" t="n">
        <v>46325</v>
      </c>
      <c r="H11" s="19" t="inlineStr">
        <is>
          <t>Trần Đình Khương</t>
        </is>
      </c>
      <c r="I11" s="19" t="inlineStr">
        <is>
          <t>Thiết kế chatbot, contract v1, wireframe, backlog, quyết định kỹ thuật và bộ kịch bản nghiệm thu.</t>
        </is>
      </c>
      <c r="J11" s="19">
        <f>IF(COUNTIF(J12:J16,"Done")=5,"Done",IF(COUNTIF(J12:J16,"Blocked")&gt;0,"Blocked",IF(COUNTIF(J12:J16,"Done")+COUNTIF(J12:J16,"In Progress")&gt;0,"In Progress","Not Started")))</f>
        <v/>
      </c>
      <c r="K11" s="21" t="inlineStr">
        <is>
          <t>•</t>
        </is>
      </c>
      <c r="L11" s="21" t="inlineStr">
        <is>
          <t>•</t>
        </is>
      </c>
      <c r="M11" s="21" t="inlineStr">
        <is>
          <t>•</t>
        </is>
      </c>
      <c r="N11" s="21" t="inlineStr">
        <is>
          <t>•</t>
        </is>
      </c>
      <c r="O11" s="21" t="inlineStr">
        <is>
          <t>•</t>
        </is>
      </c>
    </row>
    <row r="12" ht="62.25" customHeight="1">
      <c r="D12" s="22" t="inlineStr">
        <is>
          <t>M0.1</t>
        </is>
      </c>
      <c r="E12" s="22" t="inlineStr">
        <is>
          <t>Audit repo và lập danh mục yêu cầu</t>
        </is>
      </c>
      <c r="F12" s="23" t="n">
        <v>46321</v>
      </c>
      <c r="G12" s="23" t="n">
        <v>46321</v>
      </c>
      <c r="H12" s="22" t="inlineStr">
        <is>
          <t>Trần Đình Khương</t>
        </is>
      </c>
      <c r="I12" s="22" t="inlineStr">
        <is>
          <t>Baseline inventory; Source Register; traceability IDs; danh sách mâu thuẫn
0.5 ngày • AM • sau START</t>
        </is>
      </c>
      <c r="J12" s="24" t="inlineStr">
        <is>
          <t>Not Started</t>
        </is>
      </c>
      <c r="K12" s="25" t="inlineStr">
        <is>
          <t>•</t>
        </is>
      </c>
    </row>
    <row r="13" ht="62.25" customHeight="1">
      <c r="D13" s="31" t="inlineStr">
        <is>
          <t>M0.2</t>
        </is>
      </c>
      <c r="E13" s="31" t="inlineStr">
        <is>
          <t>Thiết kế UX chatbot, phạm vi và luồng hội thoại</t>
        </is>
      </c>
      <c r="F13" s="32" t="n">
        <v>46321</v>
      </c>
      <c r="G13" s="32" t="n">
        <v>46322</v>
      </c>
      <c r="H13" s="31" t="inlineStr">
        <is>
          <t>Trần Đình Khương</t>
        </is>
      </c>
      <c r="I13" s="31" t="inlineStr">
        <is>
          <t>Wireframe + conversation flow + scope MVP chatbot tuần 4
1 ngày • PM • sau M0.1</t>
        </is>
      </c>
      <c r="J13" s="24" t="inlineStr">
        <is>
          <t>Not Started</t>
        </is>
      </c>
      <c r="K13" s="25" t="inlineStr">
        <is>
          <t>•</t>
        </is>
      </c>
      <c r="L13" s="25" t="inlineStr">
        <is>
          <t>•</t>
        </is>
      </c>
    </row>
    <row r="14" ht="62.25" customHeight="1">
      <c r="D14" s="22" t="inlineStr">
        <is>
          <t>M0.3</t>
        </is>
      </c>
      <c r="E14" s="22" t="inlineStr">
        <is>
          <t>Khóa contract, dữ liệu, công nghệ và API</t>
        </is>
      </c>
      <c r="F14" s="23" t="n">
        <v>46322</v>
      </c>
      <c r="G14" s="23" t="n">
        <v>46323</v>
      </c>
      <c r="H14" s="22" t="inlineStr">
        <is>
          <t>Trần Đình Khương</t>
        </is>
      </c>
      <c r="I14" s="22" t="inlineStr">
        <is>
          <t>ADR + schema/chat examples; OpenAPI dự kiến; bảng module; capability/provider matrix
1 ngày • PM • sau M0.2</t>
        </is>
      </c>
      <c r="J14" s="24" t="inlineStr">
        <is>
          <t>Not Started</t>
        </is>
      </c>
      <c r="L14" s="25" t="inlineStr">
        <is>
          <t>•</t>
        </is>
      </c>
      <c r="M14" s="25" t="inlineStr">
        <is>
          <t>•</t>
        </is>
      </c>
    </row>
    <row r="15" ht="62.25" customHeight="1">
      <c r="D15" s="31" t="inlineStr">
        <is>
          <t>M0.4</t>
        </is>
      </c>
      <c r="E15" s="31" t="inlineStr">
        <is>
          <t>Thiết lập nền phát triển và thiết kế nghiệm thu</t>
        </is>
      </c>
      <c r="F15" s="32" t="n">
        <v>46323</v>
      </c>
      <c r="G15" s="32" t="n">
        <v>46324</v>
      </c>
      <c r="H15" s="31" t="inlineStr">
        <is>
          <t>Trần Đình Khương</t>
        </is>
      </c>
      <c r="I15" s="31" t="inlineStr">
        <is>
          <t>Khung ứng dụng có smoke; test plan và rubric; baseline measurement protocol
1 ngày • PM • sau M0.3</t>
        </is>
      </c>
      <c r="J15" s="24" t="inlineStr">
        <is>
          <t>Not Started</t>
        </is>
      </c>
      <c r="M15" s="25" t="inlineStr">
        <is>
          <t>•</t>
        </is>
      </c>
      <c r="N15" s="25" t="inlineStr">
        <is>
          <t>•</t>
        </is>
      </c>
    </row>
    <row r="16" ht="62.25" customHeight="1">
      <c r="D16" s="22" t="inlineStr">
        <is>
          <t>M0.G</t>
        </is>
      </c>
      <c r="E16" s="22" t="inlineStr">
        <is>
          <t>G0 — Review, nghiệm thu và báo cáo giai đoạn</t>
        </is>
      </c>
      <c r="F16" s="23" t="n">
        <v>46324</v>
      </c>
      <c r="G16" s="23" t="n">
        <v>46324</v>
      </c>
      <c r="H16" s="22" t="inlineStr">
        <is>
          <t>Trần Đình Khương</t>
        </is>
      </c>
      <c r="I16" s="22" t="inlineStr">
        <is>
          <t>docs/reports/milestones/m0-review.md; checklist; demo; manifest phiên bản
0.5 ngày • PM • sau M0.4</t>
        </is>
      </c>
      <c r="J16" s="24" t="inlineStr">
        <is>
          <t>Not Started</t>
        </is>
      </c>
      <c r="N16" s="25" t="inlineStr">
        <is>
          <t>◆</t>
        </is>
      </c>
    </row>
    <row r="17" ht="62.25" customHeight="1">
      <c r="D17" s="31" t="inlineStr">
        <is>
          <t>M0.B</t>
        </is>
      </c>
      <c r="E17" s="31" t="inlineStr">
        <is>
          <t>Dự phòng sửa lỗi, tích hợp hoặc nghỉ theo lịch thực tế</t>
        </is>
      </c>
      <c r="F17" s="32" t="n">
        <v>46325</v>
      </c>
      <c r="G17" s="32" t="n">
        <v>46325</v>
      </c>
      <c r="H17" s="31" t="inlineStr">
        <is>
          <t>Trần Đình Khương</t>
        </is>
      </c>
      <c r="I17" s="31" t="inlineStr">
        <is>
          <t>Gate được kiểm tra lại; nhật ký sử dụng dự phòng và lịch cập nhật
Reserve</t>
        </is>
      </c>
      <c r="J17" s="33" t="inlineStr">
        <is>
          <t>Contingency</t>
        </is>
      </c>
      <c r="O17" s="34" t="inlineStr">
        <is>
          <t>•</t>
        </is>
      </c>
    </row>
    <row r="18" ht="87.75" customHeight="1">
      <c r="B18" s="19" t="inlineStr">
        <is>
          <t>M1</t>
        </is>
      </c>
      <c r="C18" s="39" t="n"/>
      <c r="D18" s="39" t="n"/>
      <c r="E18" s="19" t="inlineStr">
        <is>
          <t>Chuẩn hóa dữ liệu chính sách cho chatbot</t>
        </is>
      </c>
      <c r="F18" s="20" t="n">
        <v>46328</v>
      </c>
      <c r="G18" s="20" t="n">
        <v>46332</v>
      </c>
      <c r="H18" s="19" t="inlineStr">
        <is>
          <t>Trần Đình Khương</t>
        </is>
      </c>
      <c r="I18" s="19" t="inlineStr">
        <is>
          <t>PolicyDocument/PolicyChunk đã duyệt; catalog nguồn; ingest report; policy-QA và privacy fixtures.</t>
        </is>
      </c>
      <c r="J18" s="19">
        <f>IF(COUNTIF(J19:J23,"Done")=5,"Done",IF(COUNTIF(J19:J23,"Blocked")&gt;0,"Blocked",IF(COUNTIF(J19:J23,"Done")+COUNTIF(J19:J23,"In Progress")&gt;0,"In Progress","Not Started")))</f>
        <v/>
      </c>
      <c r="R18" s="21" t="inlineStr">
        <is>
          <t>•</t>
        </is>
      </c>
      <c r="S18" s="21" t="inlineStr">
        <is>
          <t>•</t>
        </is>
      </c>
      <c r="T18" s="21" t="inlineStr">
        <is>
          <t>•</t>
        </is>
      </c>
      <c r="U18" s="21" t="inlineStr">
        <is>
          <t>•</t>
        </is>
      </c>
      <c r="V18" s="21" t="inlineStr">
        <is>
          <t>•</t>
        </is>
      </c>
    </row>
    <row r="19" ht="62.25" customHeight="1">
      <c r="D19" s="31" t="inlineStr">
        <is>
          <t>M1.1</t>
        </is>
      </c>
      <c r="E19" s="31" t="inlineStr">
        <is>
          <t>Kiểm kê và tiếp nhận snapshot crawler</t>
        </is>
      </c>
      <c r="F19" s="32" t="n">
        <v>46328</v>
      </c>
      <c r="G19" s="32" t="n">
        <v>46328</v>
      </c>
      <c r="H19" s="31" t="inlineStr">
        <is>
          <t>Trần Đình Khương</t>
        </is>
      </c>
      <c r="I19" s="31" t="inlineStr">
        <is>
          <t>source_inventory.csv; raw manifest có URL, hash, crawl time, status
0.5 ngày • AM • sau M0.G</t>
        </is>
      </c>
      <c r="J19" s="24" t="inlineStr">
        <is>
          <t>Not Started</t>
        </is>
      </c>
      <c r="R19" s="25" t="inlineStr">
        <is>
          <t>•</t>
        </is>
      </c>
    </row>
    <row r="20" ht="62.25" customHeight="1">
      <c r="D20" s="22" t="inlineStr">
        <is>
          <t>M1.2</t>
        </is>
      </c>
      <c r="E20" s="22" t="inlineStr">
        <is>
          <t>Làm sạch, chia đoạn và gắn provenance</t>
        </is>
      </c>
      <c r="F20" s="23" t="n">
        <v>46328</v>
      </c>
      <c r="G20" s="23" t="n">
        <v>46329</v>
      </c>
      <c r="H20" s="22" t="inlineStr">
        <is>
          <t>Trần Đình Khương</t>
        </is>
      </c>
      <c r="I20" s="22" t="inlineStr">
        <is>
          <t>policies_clean.jsonl; policy_chunks.jsonl; cleaning QA report
1 ngày • PM • sau M1.1</t>
        </is>
      </c>
      <c r="J20" s="24" t="inlineStr">
        <is>
          <t>Not Started</t>
        </is>
      </c>
      <c r="R20" s="25" t="inlineStr">
        <is>
          <t>•</t>
        </is>
      </c>
      <c r="S20" s="25" t="inlineStr">
        <is>
          <t>•</t>
        </is>
      </c>
    </row>
    <row r="21" ht="62.25" customHeight="1">
      <c r="D21" s="31" t="inlineStr">
        <is>
          <t>M1.3</t>
        </is>
      </c>
      <c r="E21" s="31" t="inlineStr">
        <is>
          <t>Policy catalog, trạng thái duyệt và PII boundary</t>
        </is>
      </c>
      <c r="F21" s="32" t="n">
        <v>46329</v>
      </c>
      <c r="G21" s="32" t="n">
        <v>46330</v>
      </c>
      <c r="H21" s="31" t="inlineStr">
        <is>
          <t>Trần Đình Khương</t>
        </is>
      </c>
      <c r="I21" s="31" t="inlineStr">
        <is>
          <t>Registry migrations; policy versions; masking service; fixture assertions
1 ngày • PM • sau M1.2</t>
        </is>
      </c>
      <c r="J21" s="24" t="inlineStr">
        <is>
          <t>Not Started</t>
        </is>
      </c>
      <c r="S21" s="25" t="inlineStr">
        <is>
          <t>•</t>
        </is>
      </c>
      <c r="T21" s="25" t="inlineStr">
        <is>
          <t>•</t>
        </is>
      </c>
    </row>
    <row r="22" ht="62.25" customHeight="1">
      <c r="D22" s="22" t="inlineStr">
        <is>
          <t>M1.4</t>
        </is>
      </c>
      <c r="E22" s="22" t="inlineStr">
        <is>
          <t>Tạo bộ đánh giá chatbot và privacy ban đầu</t>
        </is>
      </c>
      <c r="F22" s="23" t="n">
        <v>46330</v>
      </c>
      <c r="G22" s="23" t="n">
        <v>46331</v>
      </c>
      <c r="H22" s="22" t="inlineStr">
        <is>
          <t>Trần Đình Khương</t>
        </is>
      </c>
      <c r="I22" s="22" t="inlineStr">
        <is>
          <t>golden_policy_queries.jsonl; chat_eval.jsonl; pii_eval.jsonl + manifests
1 ngày • PM • sau M1.3</t>
        </is>
      </c>
      <c r="J22" s="24" t="inlineStr">
        <is>
          <t>Not Started</t>
        </is>
      </c>
      <c r="T22" s="25" t="inlineStr">
        <is>
          <t>•</t>
        </is>
      </c>
      <c r="U22" s="25" t="inlineStr">
        <is>
          <t>•</t>
        </is>
      </c>
    </row>
    <row r="23" ht="62.25" customHeight="1">
      <c r="D23" s="31" t="inlineStr">
        <is>
          <t>M1.G</t>
        </is>
      </c>
      <c r="E23" s="31" t="inlineStr">
        <is>
          <t>G1 — Review, nghiệm thu và báo cáo giai đoạn</t>
        </is>
      </c>
      <c r="F23" s="32" t="n">
        <v>46331</v>
      </c>
      <c r="G23" s="32" t="n">
        <v>46331</v>
      </c>
      <c r="H23" s="31" t="inlineStr">
        <is>
          <t>Trần Đình Khương</t>
        </is>
      </c>
      <c r="I23" s="31" t="inlineStr">
        <is>
          <t>docs/reports/milestones/m1-review.md; checklist; demo; manifest phiên bản
0.5 ngày • PM • sau M1.4</t>
        </is>
      </c>
      <c r="J23" s="24" t="inlineStr">
        <is>
          <t>Not Started</t>
        </is>
      </c>
      <c r="U23" s="25" t="inlineStr">
        <is>
          <t>◆</t>
        </is>
      </c>
    </row>
    <row r="24" ht="62.25" customHeight="1">
      <c r="D24" s="22" t="inlineStr">
        <is>
          <t>M1.B</t>
        </is>
      </c>
      <c r="E24" s="22" t="inlineStr">
        <is>
          <t>Dự phòng sửa lỗi, tích hợp hoặc nghỉ theo lịch thực tế</t>
        </is>
      </c>
      <c r="F24" s="23" t="n">
        <v>46332</v>
      </c>
      <c r="G24" s="23" t="n">
        <v>46332</v>
      </c>
      <c r="H24" s="22" t="inlineStr">
        <is>
          <t>Trần Đình Khương</t>
        </is>
      </c>
      <c r="I24" s="22" t="inlineStr">
        <is>
          <t>Gate được kiểm tra lại; nhật ký sử dụng dự phòng và lịch cập nhật
Reserve</t>
        </is>
      </c>
      <c r="J24" s="33" t="inlineStr">
        <is>
          <t>Contingency</t>
        </is>
      </c>
      <c r="V24" s="34" t="inlineStr">
        <is>
          <t>•</t>
        </is>
      </c>
    </row>
    <row r="25" ht="87.75" customHeight="1">
      <c r="B25" s="19" t="inlineStr">
        <is>
          <t>M2</t>
        </is>
      </c>
      <c r="C25" s="39" t="n"/>
      <c r="D25" s="39" t="n"/>
      <c r="E25" s="19" t="inlineStr">
        <is>
          <t>Chatbot RAG đầu tiên chạy xuyên suốt</t>
        </is>
      </c>
      <c r="F25" s="20" t="n">
        <v>46335</v>
      </c>
      <c r="G25" s="20" t="n">
        <v>46346</v>
      </c>
      <c r="H25" s="19" t="inlineStr">
        <is>
          <t>Trần Đình Khương</t>
        </is>
      </c>
      <c r="I25" s="19" t="inlineStr">
        <is>
          <t>Chat UI + API + history + retrieval + grounded generation; Docker demo; báo cáo benchmark ban đầu.</t>
        </is>
      </c>
      <c r="J25" s="19">
        <f>IF(COUNTIF(J26:J34,"Done")=9,"Done",IF(COUNTIF(J26:J34,"Blocked")&gt;0,"Blocked",IF(COUNTIF(J26:J34,"Done")+COUNTIF(J26:J34,"In Progress")&gt;0,"In Progress","Not Started")))</f>
        <v/>
      </c>
      <c r="Y25" s="21" t="inlineStr">
        <is>
          <t>•</t>
        </is>
      </c>
      <c r="Z25" s="21" t="inlineStr">
        <is>
          <t>•</t>
        </is>
      </c>
      <c r="AA25" s="21" t="inlineStr">
        <is>
          <t>•</t>
        </is>
      </c>
      <c r="AB25" s="21" t="inlineStr">
        <is>
          <t>•</t>
        </is>
      </c>
      <c r="AC25" s="21" t="inlineStr">
        <is>
          <t>•</t>
        </is>
      </c>
      <c r="AF25" s="21" t="inlineStr">
        <is>
          <t>•</t>
        </is>
      </c>
      <c r="AG25" s="21" t="inlineStr">
        <is>
          <t>•</t>
        </is>
      </c>
      <c r="AH25" s="21" t="inlineStr">
        <is>
          <t>•</t>
        </is>
      </c>
      <c r="AI25" s="21" t="inlineStr">
        <is>
          <t>•</t>
        </is>
      </c>
      <c r="AJ25" s="21" t="inlineStr">
        <is>
          <t>•</t>
        </is>
      </c>
    </row>
    <row r="26" ht="62.25" customHeight="1">
      <c r="D26" s="22" t="inlineStr">
        <is>
          <t>M2.1</t>
        </is>
      </c>
      <c r="E26" s="22" t="inlineStr">
        <is>
          <t>Lập chỉ mục và retrieval có bộ lọc</t>
        </is>
      </c>
      <c r="F26" s="23" t="n">
        <v>46335</v>
      </c>
      <c r="G26" s="23" t="n">
        <v>46336</v>
      </c>
      <c r="H26" s="22" t="inlineStr">
        <is>
          <t>Trần Đình Khương</t>
        </is>
      </c>
      <c r="I26" s="22" t="inlineStr">
        <is>
          <t>Index build pipeline; retrieval service; source resolver; index manifest
1.5 ngày • AM • sau M1.G</t>
        </is>
      </c>
      <c r="J26" s="24" t="inlineStr">
        <is>
          <t>Not Started</t>
        </is>
      </c>
      <c r="Y26" s="25" t="inlineStr">
        <is>
          <t>•</t>
        </is>
      </c>
      <c r="Z26" s="25" t="inlineStr">
        <is>
          <t>•</t>
        </is>
      </c>
    </row>
    <row r="27" ht="62.25" customHeight="1">
      <c r="D27" s="31" t="inlineStr">
        <is>
          <t>M2.2</t>
        </is>
      </c>
      <c r="E27" s="31" t="inlineStr">
        <is>
          <t>Benchmark BM25, dense và hybrid RRF</t>
        </is>
      </c>
      <c r="F27" s="32" t="n">
        <v>46336</v>
      </c>
      <c r="G27" s="32" t="n">
        <v>46337</v>
      </c>
      <c r="H27" s="31" t="inlineStr">
        <is>
          <t>Trần Đình Khương</t>
        </is>
      </c>
      <c r="I27" s="31" t="inlineStr">
        <is>
          <t>retrieval_policy_baseline.json + report + selected config
1 ngày • PM • sau M2.1</t>
        </is>
      </c>
      <c r="J27" s="24" t="inlineStr">
        <is>
          <t>Not Started</t>
        </is>
      </c>
      <c r="Z27" s="25" t="inlineStr">
        <is>
          <t>•</t>
        </is>
      </c>
      <c r="AA27" s="25" t="inlineStr">
        <is>
          <t>•</t>
        </is>
      </c>
    </row>
    <row r="28" ht="62.25" customHeight="1">
      <c r="D28" s="22" t="inlineStr">
        <is>
          <t>M2.3</t>
        </is>
      </c>
      <c r="E28" s="22" t="inlineStr">
        <is>
          <t>Đánh giá reranker trên tập nhỏ</t>
        </is>
      </c>
      <c r="F28" s="23" t="n">
        <v>46337</v>
      </c>
      <c r="G28" s="23" t="n">
        <v>46337</v>
      </c>
      <c r="H28" s="22" t="inlineStr">
        <is>
          <t>Trần Đình Khương</t>
        </is>
      </c>
      <c r="I28" s="22" t="inlineStr">
        <is>
          <t>Reranker adapter; enable/disable ADR và giới hạn tài nguyên
0.5 ngày • PM • sau M2.2</t>
        </is>
      </c>
      <c r="J28" s="24" t="inlineStr">
        <is>
          <t>Not Started</t>
        </is>
      </c>
      <c r="AA28" s="25" t="inlineStr">
        <is>
          <t>•</t>
        </is>
      </c>
    </row>
    <row r="29" ht="62.25" customHeight="1">
      <c r="D29" s="31" t="inlineStr">
        <is>
          <t>M2.4</t>
        </is>
      </c>
      <c r="E29" s="31" t="inlineStr">
        <is>
          <t>Sinh câu trả lời có nguồn và kiểm soát đầu ra</t>
        </is>
      </c>
      <c r="F29" s="32" t="n">
        <v>46338</v>
      </c>
      <c r="G29" s="32" t="n">
        <v>46338</v>
      </c>
      <c r="H29" s="31" t="inlineStr">
        <is>
          <t>Trần Đình Khương</t>
        </is>
      </c>
      <c r="I29" s="31" t="inlineStr">
        <is>
          <t>LLM service + guardrails + Answer contract
1 ngày • AM • sau M2.3</t>
        </is>
      </c>
      <c r="J29" s="24" t="inlineStr">
        <is>
          <t>Not Started</t>
        </is>
      </c>
      <c r="AB29" s="25" t="inlineStr">
        <is>
          <t>•</t>
        </is>
      </c>
    </row>
    <row r="30" ht="62.25" customHeight="1">
      <c r="D30" s="22" t="inlineStr">
        <is>
          <t>M2.5</t>
        </is>
      </c>
      <c r="E30" s="22" t="inlineStr">
        <is>
          <t>API chat, phiên và bộ nhớ nhiều lượt</t>
        </is>
      </c>
      <c r="F30" s="23" t="n">
        <v>46339</v>
      </c>
      <c r="G30" s="23" t="n">
        <v>46342</v>
      </c>
      <c r="H30" s="22" t="inlineStr">
        <is>
          <t>Trần Đình Khương</t>
        </is>
      </c>
      <c r="I30" s="22" t="inlineStr">
        <is>
          <t>Conversation service; migrations; session/history endpoints; auth integration
1.5 ngày • AM • sau M2.4</t>
        </is>
      </c>
      <c r="J30" s="24" t="inlineStr">
        <is>
          <t>Not Started</t>
        </is>
      </c>
      <c r="AC30" s="25" t="inlineStr">
        <is>
          <t>•</t>
        </is>
      </c>
      <c r="AF30" s="25" t="inlineStr">
        <is>
          <t>•</t>
        </is>
      </c>
    </row>
    <row r="31" ht="62.25" customHeight="1">
      <c r="D31" s="31" t="inlineStr">
        <is>
          <t>M2.6</t>
        </is>
      </c>
      <c r="E31" s="31" t="inlineStr">
        <is>
          <t>Giao diện chatbot và nguồn tham khảo</t>
        </is>
      </c>
      <c r="F31" s="32" t="n">
        <v>46342</v>
      </c>
      <c r="G31" s="32" t="n">
        <v>46343</v>
      </c>
      <c r="H31" s="31" t="inlineStr">
        <is>
          <t>Trần Đình Khương</t>
        </is>
      </c>
      <c r="I31" s="31" t="inlineStr">
        <is>
          <t>Buyer Chat trong apps/web chạy với backend thật; UI smoke scripts
1.5 ngày • PM • sau M2.5</t>
        </is>
      </c>
      <c r="J31" s="24" t="inlineStr">
        <is>
          <t>Not Started</t>
        </is>
      </c>
      <c r="AF31" s="25" t="inlineStr">
        <is>
          <t>•</t>
        </is>
      </c>
      <c r="AG31" s="25" t="inlineStr">
        <is>
          <t>•</t>
        </is>
      </c>
    </row>
    <row r="32" ht="62.25" customHeight="1">
      <c r="D32" s="22" t="inlineStr">
        <is>
          <t>M2.7</t>
        </is>
      </c>
      <c r="E32" s="22" t="inlineStr">
        <is>
          <t>Telemetry, đóng gói demo và xử lý dependency fail</t>
        </is>
      </c>
      <c r="F32" s="23" t="n">
        <v>46344</v>
      </c>
      <c r="G32" s="23" t="n">
        <v>46344</v>
      </c>
      <c r="H32" s="22" t="inlineStr">
        <is>
          <t>Trần Đình Khương</t>
        </is>
      </c>
      <c r="I32" s="22" t="inlineStr">
        <is>
          <t>Compose demo; logs/traces; run instructions
0.5 ngày • AM • sau M2.6</t>
        </is>
      </c>
      <c r="J32" s="24" t="inlineStr">
        <is>
          <t>Not Started</t>
        </is>
      </c>
      <c r="AH32" s="25" t="inlineStr">
        <is>
          <t>•</t>
        </is>
      </c>
    </row>
    <row r="33" ht="62.25" customHeight="1">
      <c r="D33" s="31" t="inlineStr">
        <is>
          <t>M2.8</t>
        </is>
      </c>
      <c r="E33" s="31" t="inlineStr">
        <is>
          <t>Đánh giá chatbot end-to-end và sửa lỗi</t>
        </is>
      </c>
      <c r="F33" s="32" t="n">
        <v>46344</v>
      </c>
      <c r="G33" s="32" t="n">
        <v>46345</v>
      </c>
      <c r="H33" s="31" t="inlineStr">
        <is>
          <t>Trần Đình Khương</t>
        </is>
      </c>
      <c r="I33" s="31" t="inlineStr">
        <is>
          <t>chatbot_mvp_eval report; demo recording; regression suite
1 ngày • PM • sau M2.7</t>
        </is>
      </c>
      <c r="J33" s="24" t="inlineStr">
        <is>
          <t>Not Started</t>
        </is>
      </c>
      <c r="AH33" s="25" t="inlineStr">
        <is>
          <t>•</t>
        </is>
      </c>
      <c r="AI33" s="25" t="inlineStr">
        <is>
          <t>•</t>
        </is>
      </c>
    </row>
    <row r="34" ht="62.25" customHeight="1">
      <c r="D34" s="22" t="inlineStr">
        <is>
          <t>M2.G</t>
        </is>
      </c>
      <c r="E34" s="22" t="inlineStr">
        <is>
          <t>G2 — Review, nghiệm thu và báo cáo giai đoạn</t>
        </is>
      </c>
      <c r="F34" s="23" t="n">
        <v>46345</v>
      </c>
      <c r="G34" s="23" t="n">
        <v>46345</v>
      </c>
      <c r="H34" s="22" t="inlineStr">
        <is>
          <t>Trần Đình Khương</t>
        </is>
      </c>
      <c r="I34" s="22" t="inlineStr">
        <is>
          <t>docs/reports/milestones/m2-review.md; checklist; demo; manifest phiên bản
0.5 ngày • PM • sau M2.8</t>
        </is>
      </c>
      <c r="J34" s="24" t="inlineStr">
        <is>
          <t>Not Started</t>
        </is>
      </c>
      <c r="AI34" s="25" t="inlineStr">
        <is>
          <t>◆</t>
        </is>
      </c>
    </row>
    <row r="35" ht="62.25" customHeight="1">
      <c r="D35" s="31" t="inlineStr">
        <is>
          <t>M2.B</t>
        </is>
      </c>
      <c r="E35" s="31" t="inlineStr">
        <is>
          <t>Dự phòng sửa lỗi, tích hợp hoặc nghỉ theo lịch thực tế</t>
        </is>
      </c>
      <c r="F35" s="32" t="n">
        <v>46346</v>
      </c>
      <c r="G35" s="32" t="n">
        <v>46346</v>
      </c>
      <c r="H35" s="31" t="inlineStr">
        <is>
          <t>Trần Đình Khương</t>
        </is>
      </c>
      <c r="I35" s="31" t="inlineStr">
        <is>
          <t>Gate được kiểm tra lại; nhật ký sử dụng dự phòng và lịch cập nhật
Reserve</t>
        </is>
      </c>
      <c r="J35" s="33" t="inlineStr">
        <is>
          <t>Contingency</t>
        </is>
      </c>
      <c r="AJ35" s="34" t="inlineStr">
        <is>
          <t>•</t>
        </is>
      </c>
    </row>
    <row r="36" ht="87.75" customHeight="1">
      <c r="B36" s="19" t="inlineStr">
        <is>
          <t>M3</t>
        </is>
      </c>
      <c r="C36" s="39" t="n"/>
      <c r="D36" s="39" t="n"/>
      <c r="E36" s="19" t="inlineStr">
        <is>
          <t>Chatbot theo đơn hàng và Copilot CSKH</t>
        </is>
      </c>
      <c r="F36" s="20" t="n">
        <v>46349</v>
      </c>
      <c r="G36" s="20" t="n">
        <v>46360</v>
      </c>
      <c r="H36" s="19" t="inlineStr">
        <is>
          <t>Trần Đình Khương</t>
        </is>
      </c>
      <c r="I36" s="19" t="inlineStr">
        <is>
          <t>Policy engine + customer tools + FSM + Agent Workspace; ticket/action/outcome và phản hồi được lưu.</t>
        </is>
      </c>
      <c r="J36" s="19">
        <f>IF(COUNTIF(J37:J45,"Done")=9,"Done",IF(COUNTIF(J37:J45,"Blocked")&gt;0,"Blocked",IF(COUNTIF(J37:J45,"Done")+COUNTIF(J37:J45,"In Progress")&gt;0,"In Progress","Not Started")))</f>
        <v/>
      </c>
      <c r="AM36" s="21" t="inlineStr">
        <is>
          <t>•</t>
        </is>
      </c>
      <c r="AN36" s="21" t="inlineStr">
        <is>
          <t>•</t>
        </is>
      </c>
      <c r="AO36" s="21" t="inlineStr">
        <is>
          <t>•</t>
        </is>
      </c>
      <c r="AP36" s="21" t="inlineStr">
        <is>
          <t>•</t>
        </is>
      </c>
      <c r="AQ36" s="21" t="inlineStr">
        <is>
          <t>•</t>
        </is>
      </c>
      <c r="AT36" s="21" t="inlineStr">
        <is>
          <t>•</t>
        </is>
      </c>
      <c r="AU36" s="21" t="inlineStr">
        <is>
          <t>•</t>
        </is>
      </c>
      <c r="AV36" s="21" t="inlineStr">
        <is>
          <t>•</t>
        </is>
      </c>
      <c r="AW36" s="21" t="inlineStr">
        <is>
          <t>•</t>
        </is>
      </c>
      <c r="AX36" s="21" t="inlineStr">
        <is>
          <t>•</t>
        </is>
      </c>
    </row>
    <row r="37" ht="62.25" customHeight="1">
      <c r="D37" s="31" t="inlineStr">
        <is>
          <t>M3.1</t>
        </is>
      </c>
      <c r="E37" s="31" t="inlineStr">
        <is>
          <t>Mô hình đơn hàng, ticket, action và outcome</t>
        </is>
      </c>
      <c r="F37" s="32" t="n">
        <v>46349</v>
      </c>
      <c r="G37" s="32" t="n">
        <v>46349</v>
      </c>
      <c r="H37" s="31" t="inlineStr">
        <is>
          <t>Trần Đình Khương</t>
        </is>
      </c>
      <c r="I37" s="31" t="inlineStr">
        <is>
          <t>Relational seed + schema + ticket lifecycle endpoints
1 ngày • AM • sau M2.G</t>
        </is>
      </c>
      <c r="J37" s="24" t="inlineStr">
        <is>
          <t>Not Started</t>
        </is>
      </c>
      <c r="AM37" s="25" t="inlineStr">
        <is>
          <t>•</t>
        </is>
      </c>
    </row>
    <row r="38" ht="62.25" customHeight="1">
      <c r="D38" s="22" t="inlineStr">
        <is>
          <t>M3.2</t>
        </is>
      </c>
      <c r="E38" s="22" t="inlineStr">
        <is>
          <t>Tra cứu đơn hàng có xác thực và kiểm soát truy cập</t>
        </is>
      </c>
      <c r="F38" s="23" t="n">
        <v>46350</v>
      </c>
      <c r="G38" s="23" t="n">
        <v>46350</v>
      </c>
      <c r="H38" s="22" t="inlineStr">
        <is>
          <t>Trần Đình Khương</t>
        </is>
      </c>
      <c r="I38" s="22" t="inlineStr">
        <is>
          <t>Customer context service + tool schemas + seed CRM adapter
1 ngày • AM • sau M3.1</t>
        </is>
      </c>
      <c r="J38" s="24" t="inlineStr">
        <is>
          <t>Not Started</t>
        </is>
      </c>
      <c r="AN38" s="25" t="inlineStr">
        <is>
          <t>•</t>
        </is>
      </c>
    </row>
    <row r="39" ht="62.25" customHeight="1">
      <c r="D39" s="31" t="inlineStr">
        <is>
          <t>M3.3</t>
        </is>
      </c>
      <c r="E39" s="31" t="inlineStr">
        <is>
          <t>Policy engine xác định quyền lợi bằng rule</t>
        </is>
      </c>
      <c r="F39" s="32" t="n">
        <v>46351</v>
      </c>
      <c r="G39" s="32" t="n">
        <v>46351</v>
      </c>
      <c r="H39" s="31" t="inlineStr">
        <is>
          <t>Trần Đình Khương</t>
        </is>
      </c>
      <c r="I39" s="31" t="inlineStr">
        <is>
          <t>PolicyDecision service; rule tests; evidence-linked decision log
1 ngày • AM • sau M3.2</t>
        </is>
      </c>
      <c r="J39" s="24" t="inlineStr">
        <is>
          <t>Not Started</t>
        </is>
      </c>
      <c r="AO39" s="25" t="inlineStr">
        <is>
          <t>•</t>
        </is>
      </c>
    </row>
    <row r="40" ht="62.25" customHeight="1">
      <c r="D40" s="22" t="inlineStr">
        <is>
          <t>M3.4</t>
        </is>
      </c>
      <c r="E40" s="22" t="inlineStr">
        <is>
          <t>FSM resolution, MCP tools và reflection hữu hạn</t>
        </is>
      </c>
      <c r="F40" s="23" t="n">
        <v>46352</v>
      </c>
      <c r="G40" s="23" t="n">
        <v>46353</v>
      </c>
      <c r="H40" s="22" t="inlineStr">
        <is>
          <t>Trần Đình Khương</t>
        </is>
      </c>
      <c r="I40" s="22" t="inlineStr">
        <is>
          <t>Resolution orchestrator; /api/v1/resolution/draft nối thật; tool integration tests
1.5 ngày • AM • sau M3.3</t>
        </is>
      </c>
      <c r="J40" s="24" t="inlineStr">
        <is>
          <t>Not Started</t>
        </is>
      </c>
      <c r="AP40" s="25" t="inlineStr">
        <is>
          <t>•</t>
        </is>
      </c>
      <c r="AQ40" s="25" t="inlineStr">
        <is>
          <t>•</t>
        </is>
      </c>
    </row>
    <row r="41" ht="62.25" customHeight="1">
      <c r="D41" s="31" t="inlineStr">
        <is>
          <t>M3.5</t>
        </is>
      </c>
      <c r="E41" s="31" t="inlineStr">
        <is>
          <t>Agent Workspace: context, evidence và review</t>
        </is>
      </c>
      <c r="F41" s="32" t="n">
        <v>46353</v>
      </c>
      <c r="G41" s="32" t="n">
        <v>46356</v>
      </c>
      <c r="H41" s="31" t="inlineStr">
        <is>
          <t>Trần Đình Khương</t>
        </is>
      </c>
      <c r="I41" s="31" t="inlineStr">
        <is>
          <t>Agent Copilot trong apps/web + review endpoints; browser flows
1.5 ngày • PM • sau M3.4</t>
        </is>
      </c>
      <c r="J41" s="24" t="inlineStr">
        <is>
          <t>Not Started</t>
        </is>
      </c>
      <c r="AQ41" s="25" t="inlineStr">
        <is>
          <t>•</t>
        </is>
      </c>
      <c r="AT41" s="25" t="inlineStr">
        <is>
          <t>•</t>
        </is>
      </c>
    </row>
    <row r="42" ht="62.25" customHeight="1">
      <c r="D42" s="22" t="inlineStr">
        <is>
          <t>M3.6</t>
        </is>
      </c>
      <c r="E42" s="22" t="inlineStr">
        <is>
          <t>Lưu phản hồi cuối, outcome và business events</t>
        </is>
      </c>
      <c r="F42" s="23" t="n">
        <v>46357</v>
      </c>
      <c r="G42" s="23" t="n">
        <v>46357</v>
      </c>
      <c r="H42" s="22" t="inlineStr">
        <is>
          <t>Trần Đình Khương</t>
        </is>
      </c>
      <c r="I42" s="22" t="inlineStr">
        <is>
          <t>Outcome API; audit events; metric dictionary và baseline captures
1 ngày • AM • sau M3.5</t>
        </is>
      </c>
      <c r="J42" s="24" t="inlineStr">
        <is>
          <t>Not Started</t>
        </is>
      </c>
      <c r="AU42" s="25" t="inlineStr">
        <is>
          <t>•</t>
        </is>
      </c>
    </row>
    <row r="43" ht="62.25" customHeight="1">
      <c r="D43" s="31" t="inlineStr">
        <is>
          <t>M3.7</t>
        </is>
      </c>
      <c r="E43" s="31" t="inlineStr">
        <is>
          <t>Đánh giá resolution và luồng hỗ trợ</t>
        </is>
      </c>
      <c r="F43" s="32" t="n">
        <v>46358</v>
      </c>
      <c r="G43" s="32" t="n">
        <v>46358</v>
      </c>
      <c r="H43" s="31" t="inlineStr">
        <is>
          <t>Trần Đình Khương</t>
        </is>
      </c>
      <c r="I43" s="31" t="inlineStr">
        <is>
          <t>Resolution eval v1; UAT agent/buyer; baseline report
1 ngày • AM • sau M3.6</t>
        </is>
      </c>
      <c r="J43" s="24" t="inlineStr">
        <is>
          <t>Not Started</t>
        </is>
      </c>
      <c r="AV43" s="25" t="inlineStr">
        <is>
          <t>•</t>
        </is>
      </c>
    </row>
    <row r="44" ht="62.25" customHeight="1">
      <c r="D44" s="22" t="inlineStr">
        <is>
          <t>M3.8</t>
        </is>
      </c>
      <c r="E44" s="22" t="inlineStr">
        <is>
          <t>Cô lập công cụ và lỗi thực thi</t>
        </is>
      </c>
      <c r="F44" s="23" t="n">
        <v>46359</v>
      </c>
      <c r="G44" s="23" t="n">
        <v>46359</v>
      </c>
      <c r="H44" s="22" t="inlineStr">
        <is>
          <t>Trần Đình Khương</t>
        </is>
      </c>
      <c r="I44" s="22" t="inlineStr">
        <is>
          <t>Task isolation config; timeout/retry audit; microVM decision
0.5 ngày • AM • sau M3.7</t>
        </is>
      </c>
      <c r="J44" s="24" t="inlineStr">
        <is>
          <t>Not Started</t>
        </is>
      </c>
      <c r="AW44" s="25" t="inlineStr">
        <is>
          <t>•</t>
        </is>
      </c>
    </row>
    <row r="45" ht="62.25" customHeight="1">
      <c r="D45" s="31" t="inlineStr">
        <is>
          <t>M3.G</t>
        </is>
      </c>
      <c r="E45" s="31" t="inlineStr">
        <is>
          <t>G3 — Review, nghiệm thu và báo cáo giai đoạn</t>
        </is>
      </c>
      <c r="F45" s="32" t="n">
        <v>46359</v>
      </c>
      <c r="G45" s="32" t="n">
        <v>46359</v>
      </c>
      <c r="H45" s="31" t="inlineStr">
        <is>
          <t>Trần Đình Khương</t>
        </is>
      </c>
      <c r="I45" s="31" t="inlineStr">
        <is>
          <t>docs/reports/milestones/m3-review.md; checklist; demo; manifest phiên bản
0.5 ngày • PM • sau M3.8</t>
        </is>
      </c>
      <c r="J45" s="24" t="inlineStr">
        <is>
          <t>Not Started</t>
        </is>
      </c>
      <c r="AW45" s="25" t="inlineStr">
        <is>
          <t>◆</t>
        </is>
      </c>
    </row>
    <row r="46" ht="62.25" customHeight="1">
      <c r="D46" s="22" t="inlineStr">
        <is>
          <t>M3.B</t>
        </is>
      </c>
      <c r="E46" s="22" t="inlineStr">
        <is>
          <t>Dự phòng sửa lỗi, tích hợp hoặc nghỉ theo lịch thực tế</t>
        </is>
      </c>
      <c r="F46" s="23" t="n">
        <v>46360</v>
      </c>
      <c r="G46" s="23" t="n">
        <v>46360</v>
      </c>
      <c r="H46" s="22" t="inlineStr">
        <is>
          <t>Trần Đình Khương</t>
        </is>
      </c>
      <c r="I46" s="22" t="inlineStr">
        <is>
          <t>Gate được kiểm tra lại; nhật ký sử dụng dự phòng và lịch cập nhật
Reserve</t>
        </is>
      </c>
      <c r="J46" s="33" t="inlineStr">
        <is>
          <t>Contingency</t>
        </is>
      </c>
      <c r="AX46" s="34" t="inlineStr">
        <is>
          <t>•</t>
        </is>
      </c>
    </row>
    <row r="47" ht="87.75" customHeight="1">
      <c r="B47" s="19" t="inlineStr">
        <is>
          <t>M4</t>
        </is>
      </c>
      <c r="C47" s="39" t="n"/>
      <c r="D47" s="39" t="n"/>
      <c r="E47" s="19" t="inlineStr">
        <is>
          <t>ABSA và ingestion toàn corpus</t>
        </is>
      </c>
      <c r="F47" s="20" t="n">
        <v>46363</v>
      </c>
      <c r="G47" s="20" t="n">
        <v>46374</v>
      </c>
      <c r="H47" s="19" t="inlineStr">
        <is>
          <t>Trần Đình Khương</t>
        </is>
      </c>
      <c r="I47" s="19" t="inlineStr">
        <is>
          <t>Baseline + candidate ABSA, report, model card; predictions có version; async worker + router; triage tự động.</t>
        </is>
      </c>
      <c r="J47" s="19">
        <f>IF(COUNTIF(J48:J55,"Done")=8,"Done",IF(COUNTIF(J48:J55,"Blocked")&gt;0,"Blocked",IF(COUNTIF(J48:J55,"Done")+COUNTIF(J48:J55,"In Progress")&gt;0,"In Progress","Not Started")))</f>
        <v/>
      </c>
      <c r="BA47" s="21" t="inlineStr">
        <is>
          <t>•</t>
        </is>
      </c>
      <c r="BB47" s="21" t="inlineStr">
        <is>
          <t>•</t>
        </is>
      </c>
      <c r="BC47" s="21" t="inlineStr">
        <is>
          <t>•</t>
        </is>
      </c>
      <c r="BD47" s="21" t="inlineStr">
        <is>
          <t>•</t>
        </is>
      </c>
      <c r="BE47" s="21" t="inlineStr">
        <is>
          <t>•</t>
        </is>
      </c>
      <c r="BH47" s="21" t="inlineStr">
        <is>
          <t>•</t>
        </is>
      </c>
      <c r="BI47" s="21" t="inlineStr">
        <is>
          <t>•</t>
        </is>
      </c>
      <c r="BJ47" s="21" t="inlineStr">
        <is>
          <t>•</t>
        </is>
      </c>
      <c r="BK47" s="21" t="inlineStr">
        <is>
          <t>•</t>
        </is>
      </c>
      <c r="BL47" s="21" t="inlineStr">
        <is>
          <t>•</t>
        </is>
      </c>
    </row>
    <row r="48" ht="62.25" customHeight="1">
      <c r="D48" s="22" t="inlineStr">
        <is>
          <t>M4.1</t>
        </is>
      </c>
      <c r="E48" s="22" t="inlineStr">
        <is>
          <t>Khóa taxonomy, splits và dataset provenance</t>
        </is>
      </c>
      <c r="F48" s="23" t="n">
        <v>46363</v>
      </c>
      <c r="G48" s="23" t="n">
        <v>46363</v>
      </c>
      <c r="H48" s="22" t="inlineStr">
        <is>
          <t>Trần Đình Khương</t>
        </is>
      </c>
      <c r="I48" s="22" t="inlineStr">
        <is>
          <t>aspect_taxonomy_v1.yaml; train/dev/test parquet + data card/manifests
1 ngày • AM • sau M3.G</t>
        </is>
      </c>
      <c r="J48" s="24" t="inlineStr">
        <is>
          <t>Not Started</t>
        </is>
      </c>
      <c r="BA48" s="25" t="inlineStr">
        <is>
          <t>•</t>
        </is>
      </c>
    </row>
    <row r="49" ht="62.25" customHeight="1">
      <c r="D49" s="31" t="inlineStr">
        <is>
          <t>M4.2</t>
        </is>
      </c>
      <c r="E49" s="31" t="inlineStr">
        <is>
          <t>ABSA baseline và evaluation harness</t>
        </is>
      </c>
      <c r="F49" s="32" t="n">
        <v>46364</v>
      </c>
      <c r="G49" s="32" t="n">
        <v>46364</v>
      </c>
      <c r="H49" s="31" t="inlineStr">
        <is>
          <t>Trần Đình Khương</t>
        </is>
      </c>
      <c r="I49" s="31" t="inlineStr">
        <is>
          <t>Baseline model; inference; eval scripts; confusion matrices
1 ngày • AM • sau M4.1</t>
        </is>
      </c>
      <c r="J49" s="24" t="inlineStr">
        <is>
          <t>Not Started</t>
        </is>
      </c>
      <c r="BB49" s="25" t="inlineStr">
        <is>
          <t>•</t>
        </is>
      </c>
    </row>
    <row r="50" ht="62.25" customHeight="1">
      <c r="D50" s="22" t="inlineStr">
        <is>
          <t>M4.3</t>
        </is>
      </c>
      <c r="E50" s="22" t="inlineStr">
        <is>
          <t>Huấn luyện candidate và evidence spans</t>
        </is>
      </c>
      <c r="F50" s="23" t="n">
        <v>46365</v>
      </c>
      <c r="G50" s="23" t="n">
        <v>46366</v>
      </c>
      <c r="H50" s="22" t="inlineStr">
        <is>
          <t>Trần Đình Khương</t>
        </is>
      </c>
      <c r="I50" s="22" t="inlineStr">
        <is>
          <t>Candidate checkpoint; logs; calibration; span extraction report; model card
2 ngày • AM • sau M4.2</t>
        </is>
      </c>
      <c r="J50" s="24" t="inlineStr">
        <is>
          <t>Not Started</t>
        </is>
      </c>
      <c r="BC50" s="25" t="inlineStr">
        <is>
          <t>•</t>
        </is>
      </c>
      <c r="BD50" s="25" t="inlineStr">
        <is>
          <t>•</t>
        </is>
      </c>
    </row>
    <row r="51" ht="62.25" customHeight="1">
      <c r="D51" s="31" t="inlineStr">
        <is>
          <t>M4.4</t>
        </is>
      </c>
      <c r="E51" s="31" t="inlineStr">
        <is>
          <t>Chốt model bằng benchmark và release floor</t>
        </is>
      </c>
      <c r="F51" s="32" t="n">
        <v>46367</v>
      </c>
      <c r="G51" s="32" t="n">
        <v>46367</v>
      </c>
      <c r="H51" s="31" t="inlineStr">
        <is>
          <t>Trần Đình Khương</t>
        </is>
      </c>
      <c r="I51" s="31" t="inlineStr">
        <is>
          <t>ABSA comparison report; champion config; release decision
1 ngày • AM • sau M4.3</t>
        </is>
      </c>
      <c r="J51" s="24" t="inlineStr">
        <is>
          <t>Not Started</t>
        </is>
      </c>
      <c r="BE51" s="25" t="inlineStr">
        <is>
          <t>•</t>
        </is>
      </c>
    </row>
    <row r="52" ht="62.25" customHeight="1">
      <c r="D52" s="22" t="inlineStr">
        <is>
          <t>M4.5</t>
        </is>
      </c>
      <c r="E52" s="22" t="inlineStr">
        <is>
          <t>Ingestion, queue và batch phủ toàn corpus</t>
        </is>
      </c>
      <c r="F52" s="23" t="n">
        <v>46370</v>
      </c>
      <c r="G52" s="23" t="n">
        <v>46371</v>
      </c>
      <c r="H52" s="22" t="inlineStr">
        <is>
          <t>Trần Đình Khương</t>
        </is>
      </c>
      <c r="I52" s="22" t="inlineStr">
        <is>
          <t>Pipeline A; workers; absa_predictions; feedback_reviews index; coverage report
1.5 ngày • AM • sau M4.4</t>
        </is>
      </c>
      <c r="J52" s="24" t="inlineStr">
        <is>
          <t>Not Started</t>
        </is>
      </c>
      <c r="BH52" s="25" t="inlineStr">
        <is>
          <t>•</t>
        </is>
      </c>
      <c r="BI52" s="25" t="inlineStr">
        <is>
          <t>•</t>
        </is>
      </c>
    </row>
    <row r="53" ht="62.25" customHeight="1">
      <c r="D53" s="31" t="inlineStr">
        <is>
          <t>M4.6</t>
        </is>
      </c>
      <c r="E53" s="31" t="inlineStr">
        <is>
          <t>Semantic router, rate limit và triage API</t>
        </is>
      </c>
      <c r="F53" s="32" t="n">
        <v>46371</v>
      </c>
      <c r="G53" s="32" t="n">
        <v>46372</v>
      </c>
      <c r="H53" s="31" t="inlineStr">
        <is>
          <t>Trần Đình Khương</t>
        </is>
      </c>
      <c r="I53" s="31" t="inlineStr">
        <is>
          <t>Router dataset/card; router service; rate limiter; /api/v1/absa/predict
1 ngày • PM • sau M4.5</t>
        </is>
      </c>
      <c r="J53" s="24" t="inlineStr">
        <is>
          <t>Not Started</t>
        </is>
      </c>
      <c r="BI53" s="25" t="inlineStr">
        <is>
          <t>•</t>
        </is>
      </c>
      <c r="BJ53" s="25" t="inlineStr">
        <is>
          <t>•</t>
        </is>
      </c>
    </row>
    <row r="54" ht="62.25" customHeight="1">
      <c r="D54" s="22" t="inlineStr">
        <is>
          <t>M4.7</t>
        </is>
      </c>
      <c r="E54" s="22" t="inlineStr">
        <is>
          <t>Tích hợp triage thật vào chatbot và workspace</t>
        </is>
      </c>
      <c r="F54" s="23" t="n">
        <v>46372</v>
      </c>
      <c r="G54" s="23" t="n">
        <v>46373</v>
      </c>
      <c r="H54" s="22" t="inlineStr">
        <is>
          <t>Trần Đình Khương</t>
        </is>
      </c>
      <c r="I54" s="22" t="inlineStr">
        <is>
          <t>Ticket triage v1; correction endpoint; buyer/agent regression
1 ngày • PM • sau M4.6</t>
        </is>
      </c>
      <c r="J54" s="24" t="inlineStr">
        <is>
          <t>Not Started</t>
        </is>
      </c>
      <c r="BJ54" s="25" t="inlineStr">
        <is>
          <t>•</t>
        </is>
      </c>
      <c r="BK54" s="25" t="inlineStr">
        <is>
          <t>•</t>
        </is>
      </c>
    </row>
    <row r="55" ht="62.25" customHeight="1">
      <c r="D55" s="31" t="inlineStr">
        <is>
          <t>M4.G</t>
        </is>
      </c>
      <c r="E55" s="31" t="inlineStr">
        <is>
          <t>G4 — Review, nghiệm thu và báo cáo giai đoạn</t>
        </is>
      </c>
      <c r="F55" s="32" t="n">
        <v>46373</v>
      </c>
      <c r="G55" s="32" t="n">
        <v>46373</v>
      </c>
      <c r="H55" s="31" t="inlineStr">
        <is>
          <t>Trần Đình Khương</t>
        </is>
      </c>
      <c r="I55" s="31" t="inlineStr">
        <is>
          <t>docs/reports/milestones/m4-review.md; checklist; demo; manifest phiên bản
0.5 ngày • PM • sau M4.7</t>
        </is>
      </c>
      <c r="J55" s="24" t="inlineStr">
        <is>
          <t>Not Started</t>
        </is>
      </c>
      <c r="BK55" s="25" t="inlineStr">
        <is>
          <t>◆</t>
        </is>
      </c>
    </row>
    <row r="56" ht="62.25" customHeight="1">
      <c r="D56" s="22" t="inlineStr">
        <is>
          <t>M4.B</t>
        </is>
      </c>
      <c r="E56" s="22" t="inlineStr">
        <is>
          <t>Dự phòng sửa lỗi, tích hợp hoặc nghỉ theo lịch thực tế</t>
        </is>
      </c>
      <c r="F56" s="23" t="n">
        <v>46374</v>
      </c>
      <c r="G56" s="23" t="n">
        <v>46374</v>
      </c>
      <c r="H56" s="22" t="inlineStr">
        <is>
          <t>Trần Đình Khương</t>
        </is>
      </c>
      <c r="I56" s="22" t="inlineStr">
        <is>
          <t>Gate được kiểm tra lại; nhật ký sử dụng dự phòng và lịch cập nhật
Reserve</t>
        </is>
      </c>
      <c r="J56" s="33" t="inlineStr">
        <is>
          <t>Contingency</t>
        </is>
      </c>
      <c r="BL56" s="34" t="inlineStr">
        <is>
          <t>•</t>
        </is>
      </c>
    </row>
    <row r="57" ht="87.75" customHeight="1">
      <c r="B57" s="19" t="inlineStr">
        <is>
          <t>M5</t>
        </is>
      </c>
      <c r="C57" s="39" t="n"/>
      <c r="D57" s="39" t="n"/>
      <c r="E57" s="19" t="inlineStr">
        <is>
          <t>Dashboard toàn corpus và điều tra bằng evidence</t>
        </is>
      </c>
      <c r="F57" s="20" t="n">
        <v>46377</v>
      </c>
      <c r="G57" s="20" t="n">
        <v>46381</v>
      </c>
      <c r="H57" s="19" t="inlineStr">
        <is>
          <t>Trần Đình Khương</t>
        </is>
      </c>
      <c r="I57" s="19" t="inlineStr">
        <is>
          <t>Analyst/PM dashboard, population/denominator, anomaly alert, drill-down giữ nguyên filters, benchmark review retrieval.</t>
        </is>
      </c>
      <c r="J57" s="19">
        <f>IF(COUNTIF(J58:J62,"Done")=5,"Done",IF(COUNTIF(J58:J62,"Blocked")&gt;0,"Blocked",IF(COUNTIF(J58:J62,"Done")+COUNTIF(J58:J62,"In Progress")&gt;0,"In Progress","Not Started")))</f>
        <v/>
      </c>
      <c r="BO57" s="21" t="inlineStr">
        <is>
          <t>•</t>
        </is>
      </c>
      <c r="BP57" s="21" t="inlineStr">
        <is>
          <t>•</t>
        </is>
      </c>
      <c r="BQ57" s="21" t="inlineStr">
        <is>
          <t>•</t>
        </is>
      </c>
      <c r="BR57" s="21" t="inlineStr">
        <is>
          <t>•</t>
        </is>
      </c>
      <c r="BS57" s="21" t="inlineStr">
        <is>
          <t>•</t>
        </is>
      </c>
    </row>
    <row r="58" ht="62.25" customHeight="1">
      <c r="D58" s="22" t="inlineStr">
        <is>
          <t>M5.1</t>
        </is>
      </c>
      <c r="E58" s="22" t="inlineStr">
        <is>
          <t>Metrics SQL, lineage và cảnh báo</t>
        </is>
      </c>
      <c r="F58" s="23" t="n">
        <v>46377</v>
      </c>
      <c r="G58" s="23" t="n">
        <v>46377</v>
      </c>
      <c r="H58" s="22" t="inlineStr">
        <is>
          <t>Trần Đình Khương</t>
        </is>
      </c>
      <c r="I58" s="22" t="inlineStr">
        <is>
          <t>Aggregate APIs; metric lineage; scheduled anomaly jobs
1 ngày • AM • sau M4.G</t>
        </is>
      </c>
      <c r="J58" s="24" t="inlineStr">
        <is>
          <t>Not Started</t>
        </is>
      </c>
      <c r="BO58" s="25" t="inlineStr">
        <is>
          <t>•</t>
        </is>
      </c>
    </row>
    <row r="59" ht="62.25" customHeight="1">
      <c r="D59" s="31" t="inlineStr">
        <is>
          <t>M5.2</t>
        </is>
      </c>
      <c r="E59" s="31" t="inlineStr">
        <is>
          <t>Dashboard Analyst/PM và business outcomes</t>
        </is>
      </c>
      <c r="F59" s="32" t="n">
        <v>46378</v>
      </c>
      <c r="G59" s="32" t="n">
        <v>46378</v>
      </c>
      <c r="H59" s="31" t="inlineStr">
        <is>
          <t>Trần Đình Khương</t>
        </is>
      </c>
      <c r="I59" s="31" t="inlineStr">
        <is>
          <t>apps/analyst_dashboard với bộ lọc và outcome view
1 ngày • AM • sau M5.1</t>
        </is>
      </c>
      <c r="J59" s="24" t="inlineStr">
        <is>
          <t>Not Started</t>
        </is>
      </c>
      <c r="BP59" s="25" t="inlineStr">
        <is>
          <t>•</t>
        </is>
      </c>
    </row>
    <row r="60" ht="62.25" customHeight="1">
      <c r="D60" s="22" t="inlineStr">
        <is>
          <t>M5.3</t>
        </is>
      </c>
      <c r="E60" s="22" t="inlineStr">
        <is>
          <t>Drill-down có cohort, diversity và benchmark</t>
        </is>
      </c>
      <c r="F60" s="23" t="n">
        <v>46379</v>
      </c>
      <c r="G60" s="23" t="n">
        <v>46379</v>
      </c>
      <c r="H60" s="22" t="inlineStr">
        <is>
          <t>Trần Đình Khương</t>
        </is>
      </c>
      <c r="I60" s="22" t="inlineStr">
        <is>
          <t>Investigation API/UI; evidence pack; review retrieval report; tổng 80 golden queries
1 ngày • AM • sau M5.2</t>
        </is>
      </c>
      <c r="J60" s="24" t="inlineStr">
        <is>
          <t>Not Started</t>
        </is>
      </c>
      <c r="BQ60" s="25" t="inlineStr">
        <is>
          <t>•</t>
        </is>
      </c>
    </row>
    <row r="61" ht="62.25" customHeight="1">
      <c r="D61" s="31" t="inlineStr">
        <is>
          <t>M5.4</t>
        </is>
      </c>
      <c r="E61" s="31" t="inlineStr">
        <is>
          <t>Kiểm nghiệm dashboard và cảnh báo</t>
        </is>
      </c>
      <c r="F61" s="32" t="n">
        <v>46380</v>
      </c>
      <c r="G61" s="32" t="n">
        <v>46380</v>
      </c>
      <c r="H61" s="31" t="inlineStr">
        <is>
          <t>Trần Đình Khương</t>
        </is>
      </c>
      <c r="I61" s="31" t="inlineStr">
        <is>
          <t>Analytics/drill-down test report; anomaly evaluation
0.5 ngày • AM • sau M5.3</t>
        </is>
      </c>
      <c r="J61" s="24" t="inlineStr">
        <is>
          <t>Not Started</t>
        </is>
      </c>
      <c r="BR61" s="25" t="inlineStr">
        <is>
          <t>•</t>
        </is>
      </c>
    </row>
    <row r="62" ht="62.25" customHeight="1">
      <c r="D62" s="22" t="inlineStr">
        <is>
          <t>M5.G</t>
        </is>
      </c>
      <c r="E62" s="22" t="inlineStr">
        <is>
          <t>G5 — Review, nghiệm thu và báo cáo giai đoạn</t>
        </is>
      </c>
      <c r="F62" s="23" t="n">
        <v>46380</v>
      </c>
      <c r="G62" s="23" t="n">
        <v>46380</v>
      </c>
      <c r="H62" s="22" t="inlineStr">
        <is>
          <t>Trần Đình Khương</t>
        </is>
      </c>
      <c r="I62" s="22" t="inlineStr">
        <is>
          <t>docs/reports/milestones/m5-review.md; checklist; demo; manifest phiên bản
0.5 ngày • PM • sau M5.4</t>
        </is>
      </c>
      <c r="J62" s="24" t="inlineStr">
        <is>
          <t>Not Started</t>
        </is>
      </c>
      <c r="BR62" s="25" t="inlineStr">
        <is>
          <t>◆</t>
        </is>
      </c>
    </row>
    <row r="63" ht="62.25" customHeight="1">
      <c r="D63" s="31" t="inlineStr">
        <is>
          <t>M5.B</t>
        </is>
      </c>
      <c r="E63" s="31" t="inlineStr">
        <is>
          <t>Dự phòng sửa lỗi, tích hợp hoặc nghỉ theo lịch thực tế</t>
        </is>
      </c>
      <c r="F63" s="32" t="n">
        <v>46381</v>
      </c>
      <c r="G63" s="32" t="n">
        <v>46381</v>
      </c>
      <c r="H63" s="31" t="inlineStr">
        <is>
          <t>Trần Đình Khương</t>
        </is>
      </c>
      <c r="I63" s="31" t="inlineStr">
        <is>
          <t>Gate được kiểm tra lại; nhật ký sử dụng dự phòng và lịch cập nhật
Reserve</t>
        </is>
      </c>
      <c r="J63" s="33" t="inlineStr">
        <is>
          <t>Contingency</t>
        </is>
      </c>
      <c r="BS63" s="34" t="inlineStr">
        <is>
          <t>•</t>
        </is>
      </c>
    </row>
    <row r="64" ht="87.75" customHeight="1">
      <c r="B64" s="19" t="inlineStr">
        <is>
          <t>M6</t>
        </is>
      </c>
      <c r="C64" s="39" t="n"/>
      <c r="D64" s="39" t="n"/>
      <c r="E64" s="19" t="inlineStr">
        <is>
          <t>GraphRAG và quản trị tri thức</t>
        </is>
      </c>
      <c r="F64" s="20" t="n">
        <v>46384</v>
      </c>
      <c r="G64" s="20" t="n">
        <v>46395</v>
      </c>
      <c r="H64" s="19" t="inlineStr">
        <is>
          <t>Trần Đình Khương</t>
        </is>
      </c>
      <c r="I64" s="19" t="inlineStr">
        <is>
          <t>Ontology v1 + Neo4j + graph traversal; analyst/steward UI; knowledge publish/rollback; chatbot có evidence graph.</t>
        </is>
      </c>
      <c r="J64" s="19">
        <f>IF(COUNTIF(J65:J74,"Done")=10,"Done",IF(COUNTIF(J65:J74,"Blocked")&gt;0,"Blocked",IF(COUNTIF(J65:J74,"Done")+COUNTIF(J65:J74,"In Progress")&gt;0,"In Progress","Not Started")))</f>
        <v/>
      </c>
      <c r="BV64" s="21" t="inlineStr">
        <is>
          <t>•</t>
        </is>
      </c>
      <c r="BW64" s="21" t="inlineStr">
        <is>
          <t>•</t>
        </is>
      </c>
      <c r="BX64" s="21" t="inlineStr">
        <is>
          <t>•</t>
        </is>
      </c>
      <c r="BY64" s="21" t="inlineStr">
        <is>
          <t>•</t>
        </is>
      </c>
      <c r="BZ64" s="21" t="inlineStr">
        <is>
          <t>•</t>
        </is>
      </c>
      <c r="CC64" s="21" t="inlineStr">
        <is>
          <t>•</t>
        </is>
      </c>
      <c r="CD64" s="21" t="inlineStr">
        <is>
          <t>•</t>
        </is>
      </c>
      <c r="CE64" s="21" t="inlineStr">
        <is>
          <t>•</t>
        </is>
      </c>
      <c r="CF64" s="21" t="inlineStr">
        <is>
          <t>•</t>
        </is>
      </c>
      <c r="CG64" s="21" t="inlineStr">
        <is>
          <t>•</t>
        </is>
      </c>
    </row>
    <row r="65" ht="62.25" customHeight="1">
      <c r="D65" s="31" t="inlineStr">
        <is>
          <t>M6.1</t>
        </is>
      </c>
      <c r="E65" s="31" t="inlineStr">
        <is>
          <t>Thống nhất ontology, IDs và lifecycle</t>
        </is>
      </c>
      <c r="F65" s="32" t="n">
        <v>46384</v>
      </c>
      <c r="G65" s="32" t="n">
        <v>46384</v>
      </c>
      <c r="H65" s="31" t="inlineStr">
        <is>
          <t>Trần Đình Khương</t>
        </is>
      </c>
      <c r="I65" s="31" t="inlineStr">
        <is>
          <t>Ontology v1 + migration mapping + lifecycle transition rules
1 ngày • AM • sau M5.G</t>
        </is>
      </c>
      <c r="J65" s="24" t="inlineStr">
        <is>
          <t>Not Started</t>
        </is>
      </c>
      <c r="BV65" s="25" t="inlineStr">
        <is>
          <t>•</t>
        </is>
      </c>
    </row>
    <row r="66" ht="62.25" customHeight="1">
      <c r="D66" s="22" t="inlineStr">
        <is>
          <t>M6.2</t>
        </is>
      </c>
      <c r="E66" s="22" t="inlineStr">
        <is>
          <t>Seed và đồng bộ graph có provenance</t>
        </is>
      </c>
      <c r="F66" s="23" t="n">
        <v>46385</v>
      </c>
      <c r="G66" s="23" t="n">
        <v>46385</v>
      </c>
      <c r="H66" s="22" t="inlineStr">
        <is>
          <t>Trần Đình Khương</t>
        </is>
      </c>
      <c r="I66" s="22" t="inlineStr">
        <is>
          <t>neo4j_ontology_seed.json; graph_sync; graph contracts
1 ngày • AM • sau M6.1</t>
        </is>
      </c>
      <c r="J66" s="24" t="inlineStr">
        <is>
          <t>Not Started</t>
        </is>
      </c>
      <c r="BW66" s="25" t="inlineStr">
        <is>
          <t>•</t>
        </is>
      </c>
    </row>
    <row r="67" ht="62.25" customHeight="1">
      <c r="D67" s="31" t="inlineStr">
        <is>
          <t>M6.3</t>
        </is>
      </c>
      <c r="E67" s="31" t="inlineStr">
        <is>
          <t>Local GraphRAG và vector→entity→graph</t>
        </is>
      </c>
      <c r="F67" s="32" t="n">
        <v>46386</v>
      </c>
      <c r="G67" s="32" t="n">
        <v>46386</v>
      </c>
      <c r="H67" s="31" t="inlineStr">
        <is>
          <t>Trần Đình Khương</t>
        </is>
      </c>
      <c r="I67" s="31" t="inlineStr">
        <is>
          <t>Graph retriever + GraphContext contract + query tests
1 ngày • AM • sau M6.2</t>
        </is>
      </c>
      <c r="J67" s="24" t="inlineStr">
        <is>
          <t>Not Started</t>
        </is>
      </c>
      <c r="BX67" s="25" t="inlineStr">
        <is>
          <t>•</t>
        </is>
      </c>
    </row>
    <row r="68" ht="62.25" customHeight="1">
      <c r="D68" s="22" t="inlineStr">
        <is>
          <t>M6.4</t>
        </is>
      </c>
      <c r="E68" s="22" t="inlineStr">
        <is>
          <t>Nối graph vào resolution và chatbot</t>
        </is>
      </c>
      <c r="F68" s="23" t="n">
        <v>46387</v>
      </c>
      <c r="G68" s="23" t="n">
        <v>46387</v>
      </c>
      <c r="H68" s="22" t="inlineStr">
        <is>
          <t>Trần Đình Khương</t>
        </is>
      </c>
      <c r="I68" s="22" t="inlineStr">
        <is>
          <t>Resolution v2 có graph citations và verified status
1 ngày • AM • sau M6.3</t>
        </is>
      </c>
      <c r="J68" s="24" t="inlineStr">
        <is>
          <t>Not Started</t>
        </is>
      </c>
      <c r="BY68" s="25" t="inlineStr">
        <is>
          <t>•</t>
        </is>
      </c>
    </row>
    <row r="69" ht="62.25" customHeight="1">
      <c r="D69" s="31" t="inlineStr">
        <is>
          <t>M6.5</t>
        </is>
      </c>
      <c r="E69" s="31" t="inlineStr">
        <is>
          <t>Analyst investigation và issue lifecycle UI</t>
        </is>
      </c>
      <c r="F69" s="32" t="n">
        <v>46391</v>
      </c>
      <c r="G69" s="32" t="n">
        <v>46391</v>
      </c>
      <c r="H69" s="31" t="inlineStr">
        <is>
          <t>Trần Đình Khương</t>
        </is>
      </c>
      <c r="I69" s="31" t="inlineStr">
        <is>
          <t>Graph explorer tối giản; analyst annotation + PM issue detail
1 ngày • AM • sau M6.4</t>
        </is>
      </c>
      <c r="J69" s="24" t="inlineStr">
        <is>
          <t>Not Started</t>
        </is>
      </c>
      <c r="CC69" s="25" t="inlineStr">
        <is>
          <t>•</t>
        </is>
      </c>
    </row>
    <row r="70" ht="62.25" customHeight="1">
      <c r="D70" s="22" t="inlineStr">
        <is>
          <t>M6.6</t>
        </is>
      </c>
      <c r="E70" s="22" t="inlineStr">
        <is>
          <t>Steward review, policy retirement và publish</t>
        </is>
      </c>
      <c r="F70" s="23" t="n">
        <v>46392</v>
      </c>
      <c r="G70" s="23" t="n">
        <v>46392</v>
      </c>
      <c r="H70" s="22" t="inlineStr">
        <is>
          <t>Trần Đình Khương</t>
        </is>
      </c>
      <c r="I70" s="22" t="inlineStr">
        <is>
          <t>Steward Queue trong apps/web + knowledge versions + approval records
1 ngày • AM • sau M6.5</t>
        </is>
      </c>
      <c r="J70" s="24" t="inlineStr">
        <is>
          <t>Not Started</t>
        </is>
      </c>
      <c r="CD70" s="25" t="inlineStr">
        <is>
          <t>•</t>
        </is>
      </c>
    </row>
    <row r="71" ht="62.25" customHeight="1">
      <c r="D71" s="31" t="inlineStr">
        <is>
          <t>M6.7</t>
        </is>
      </c>
      <c r="E71" s="31" t="inlineStr">
        <is>
          <t>Staleness, version propagation và rollback</t>
        </is>
      </c>
      <c r="F71" s="32" t="n">
        <v>46393</v>
      </c>
      <c r="G71" s="32" t="n">
        <v>46393</v>
      </c>
      <c r="H71" s="31" t="inlineStr">
        <is>
          <t>Trần Đình Khương</t>
        </is>
      </c>
      <c r="I71" s="31" t="inlineStr">
        <is>
          <t>Knowledge publication pipeline; version rollback drill
1 ngày • AM • sau M6.6</t>
        </is>
      </c>
      <c r="J71" s="24" t="inlineStr">
        <is>
          <t>Not Started</t>
        </is>
      </c>
      <c r="CE71" s="25" t="inlineStr">
        <is>
          <t>•</t>
        </is>
      </c>
    </row>
    <row r="72" ht="62.25" customHeight="1">
      <c r="D72" s="22" t="inlineStr">
        <is>
          <t>M6.8</t>
        </is>
      </c>
      <c r="E72" s="22" t="inlineStr">
        <is>
          <t>Nghiệm thu vòng analyst→knowledge→chatbot</t>
        </is>
      </c>
      <c r="F72" s="23" t="n">
        <v>46394</v>
      </c>
      <c r="G72" s="23" t="n">
        <v>46394</v>
      </c>
      <c r="H72" s="22" t="inlineStr">
        <is>
          <t>Trần Đình Khương</t>
        </is>
      </c>
      <c r="I72" s="22" t="inlineStr">
        <is>
          <t>Graph E2E recording; graph/resolution eval v2; source-linked reports
1 ngày • AM • sau M6.7</t>
        </is>
      </c>
      <c r="J72" s="24" t="inlineStr">
        <is>
          <t>Not Started</t>
        </is>
      </c>
      <c r="CF72" s="25" t="inlineStr">
        <is>
          <t>•</t>
        </is>
      </c>
    </row>
    <row r="73" ht="62.25" customHeight="1">
      <c r="D73" s="31" t="inlineStr">
        <is>
          <t>M6.9</t>
        </is>
      </c>
      <c r="E73" s="31" t="inlineStr">
        <is>
          <t>Đánh giá và ghi quyết định GraphRAG nâng cao</t>
        </is>
      </c>
      <c r="F73" s="32" t="n">
        <v>46395</v>
      </c>
      <c r="G73" s="32" t="n">
        <v>46395</v>
      </c>
      <c r="H73" s="31" t="inlineStr">
        <is>
          <t>Trần Đình Khương</t>
        </is>
      </c>
      <c r="I73" s="31" t="inlineStr">
        <is>
          <t>Extension ADR; roadmap sau tuần 14; scope ledger
0.5 ngày • AM • sau M6.8</t>
        </is>
      </c>
      <c r="J73" s="24" t="inlineStr">
        <is>
          <t>Not Started</t>
        </is>
      </c>
      <c r="CG73" s="25" t="inlineStr">
        <is>
          <t>•</t>
        </is>
      </c>
    </row>
    <row r="74" ht="62.25" customHeight="1">
      <c r="D74" s="22" t="inlineStr">
        <is>
          <t>M6.G</t>
        </is>
      </c>
      <c r="E74" s="22" t="inlineStr">
        <is>
          <t>G6 — Review, nghiệm thu và báo cáo giai đoạn</t>
        </is>
      </c>
      <c r="F74" s="23" t="n">
        <v>46395</v>
      </c>
      <c r="G74" s="23" t="n">
        <v>46395</v>
      </c>
      <c r="H74" s="22" t="inlineStr">
        <is>
          <t>Trần Đình Khương</t>
        </is>
      </c>
      <c r="I74" s="22" t="inlineStr">
        <is>
          <t>docs/reports/milestones/m6-review.md; checklist; demo; manifest phiên bản
0.5 ngày • PM • sau M6.9</t>
        </is>
      </c>
      <c r="J74" s="24" t="inlineStr">
        <is>
          <t>Not Started</t>
        </is>
      </c>
      <c r="CG74" s="25" t="inlineStr">
        <is>
          <t>◆</t>
        </is>
      </c>
    </row>
    <row r="75" ht="62.25" customHeight="1">
      <c r="D75" s="31" t="inlineStr">
        <is>
          <t>M6.B</t>
        </is>
      </c>
      <c r="E75" s="31" t="inlineStr">
        <is>
          <t>Nghỉ dự kiến 01/01/2027 (trích quỹ dự phòng)</t>
        </is>
      </c>
      <c r="F75" s="32" t="n">
        <v>46388</v>
      </c>
      <c r="G75" s="32" t="n">
        <v>46388</v>
      </c>
      <c r="H75" s="31" t="inlineStr">
        <is>
          <t>Trần Đình Khương</t>
        </is>
      </c>
      <c r="I75" s="31" t="inlineStr">
        <is>
          <t>Gate được kiểm tra lại; nhật ký sử dụng dự phòng và lịch cập nhật
Reserve</t>
        </is>
      </c>
      <c r="J75" s="33" t="inlineStr">
        <is>
          <t>Contingency</t>
        </is>
      </c>
      <c r="BZ75" s="34" t="inlineStr">
        <is>
          <t>N</t>
        </is>
      </c>
    </row>
    <row r="76" ht="87.75" customHeight="1">
      <c r="B76" s="19" t="inlineStr">
        <is>
          <t>M7</t>
        </is>
      </c>
      <c r="C76" s="39" t="n"/>
      <c r="D76" s="39" t="n"/>
      <c r="E76" s="19" t="inlineStr">
        <is>
          <t>Closed-loop feedback và cải thiện mô hình</t>
        </is>
      </c>
      <c r="F76" s="20" t="n">
        <v>46398</v>
      </c>
      <c r="G76" s="20" t="n">
        <v>46402</v>
      </c>
      <c r="H76" s="19" t="inlineStr">
        <is>
          <t>Trần Đình Khương</t>
        </is>
      </c>
      <c r="I76" s="19" t="inlineStr">
        <is>
          <t>Versioned annotation datasets; active-learning queue; một retraining/eval cycle; drift monitors và publish decision.</t>
        </is>
      </c>
      <c r="J76" s="19">
        <f>IF(COUNTIF(J77:J82,"Done")=6,"Done",IF(COUNTIF(J77:J82,"Blocked")&gt;0,"Blocked",IF(COUNTIF(J77:J82,"Done")+COUNTIF(J77:J82,"In Progress")&gt;0,"In Progress","Not Started")))</f>
        <v/>
      </c>
      <c r="CJ76" s="21" t="inlineStr">
        <is>
          <t>•</t>
        </is>
      </c>
      <c r="CK76" s="21" t="inlineStr">
        <is>
          <t>•</t>
        </is>
      </c>
      <c r="CL76" s="21" t="inlineStr">
        <is>
          <t>•</t>
        </is>
      </c>
      <c r="CM76" s="21" t="inlineStr">
        <is>
          <t>•</t>
        </is>
      </c>
      <c r="CN76" s="21" t="inlineStr">
        <is>
          <t>•</t>
        </is>
      </c>
    </row>
    <row r="77" ht="62.25" customHeight="1">
      <c r="D77" s="31" t="inlineStr">
        <is>
          <t>M7.1</t>
        </is>
      </c>
      <c r="E77" s="31" t="inlineStr">
        <is>
          <t>Chuẩn hóa toàn bộ feedback và export</t>
        </is>
      </c>
      <c r="F77" s="32" t="n">
        <v>46398</v>
      </c>
      <c r="G77" s="32" t="n">
        <v>46398</v>
      </c>
      <c r="H77" s="31" t="inlineStr">
        <is>
          <t>Trần Đình Khương</t>
        </is>
      </c>
      <c r="I77" s="31" t="inlineStr">
        <is>
          <t>Annotation store; approved training/eval exports; judgments dataset
1 ngày • AM • sau M6.G</t>
        </is>
      </c>
      <c r="J77" s="24" t="inlineStr">
        <is>
          <t>Not Started</t>
        </is>
      </c>
      <c r="CJ77" s="25" t="inlineStr">
        <is>
          <t>•</t>
        </is>
      </c>
    </row>
    <row r="78" ht="62.25" customHeight="1">
      <c r="D78" s="22" t="inlineStr">
        <is>
          <t>M7.2</t>
        </is>
      </c>
      <c r="E78" s="22" t="inlineStr">
        <is>
          <t>Một vòng active learning và model promotion</t>
        </is>
      </c>
      <c r="F78" s="23" t="n">
        <v>46399</v>
      </c>
      <c r="G78" s="23" t="n">
        <v>46399</v>
      </c>
      <c r="H78" s="22" t="inlineStr">
        <is>
          <t>Trần Đình Khương</t>
        </is>
      </c>
      <c r="I78" s="22" t="inlineStr">
        <is>
          <t>Active-learning report; candidate model; promotion/rollback manifest
1 ngày • AM • sau M7.1</t>
        </is>
      </c>
      <c r="J78" s="24" t="inlineStr">
        <is>
          <t>Not Started</t>
        </is>
      </c>
      <c r="CK78" s="25" t="inlineStr">
        <is>
          <t>•</t>
        </is>
      </c>
    </row>
    <row r="79" ht="62.25" customHeight="1">
      <c r="D79" s="31" t="inlineStr">
        <is>
          <t>M7.3</t>
        </is>
      </c>
      <c r="E79" s="31" t="inlineStr">
        <is>
          <t>Drift, quality và feedback monitoring</t>
        </is>
      </c>
      <c r="F79" s="32" t="n">
        <v>46400</v>
      </c>
      <c r="G79" s="32" t="n">
        <v>46400</v>
      </c>
      <c r="H79" s="31" t="inlineStr">
        <is>
          <t>Trần Đình Khương</t>
        </is>
      </c>
      <c r="I79" s="31" t="inlineStr">
        <is>
          <t>Quality/drift dashboard và alert config
0.5 ngày • AM • sau M7.2</t>
        </is>
      </c>
      <c r="J79" s="24" t="inlineStr">
        <is>
          <t>Not Started</t>
        </is>
      </c>
      <c r="CL79" s="25" t="inlineStr">
        <is>
          <t>•</t>
        </is>
      </c>
    </row>
    <row r="80" ht="62.25" customHeight="1">
      <c r="D80" s="22" t="inlineStr">
        <is>
          <t>M7.4</t>
        </is>
      </c>
      <c r="E80" s="22" t="inlineStr">
        <is>
          <t>Retention, correction và deletion propagation</t>
        </is>
      </c>
      <c r="F80" s="23" t="n">
        <v>46400</v>
      </c>
      <c r="G80" s="23" t="n">
        <v>46400</v>
      </c>
      <c r="H80" s="22" t="inlineStr">
        <is>
          <t>Trần Đình Khương</t>
        </is>
      </c>
      <c r="I80" s="22" t="inlineStr">
        <is>
          <t>Deletion/correction workflow + lineage test
0.5 ngày • PM • sau M7.3</t>
        </is>
      </c>
      <c r="J80" s="24" t="inlineStr">
        <is>
          <t>Not Started</t>
        </is>
      </c>
      <c r="CL80" s="25" t="inlineStr">
        <is>
          <t>•</t>
        </is>
      </c>
    </row>
    <row r="81" ht="62.25" customHeight="1">
      <c r="D81" s="31" t="inlineStr">
        <is>
          <t>M7.5</t>
        </is>
      </c>
      <c r="E81" s="31" t="inlineStr">
        <is>
          <t>Regression learning loop và outcome efficacy</t>
        </is>
      </c>
      <c r="F81" s="32" t="n">
        <v>46401</v>
      </c>
      <c r="G81" s="32" t="n">
        <v>46401</v>
      </c>
      <c r="H81" s="31" t="inlineStr">
        <is>
          <t>Trần Đình Khương</t>
        </is>
      </c>
      <c r="I81" s="31" t="inlineStr">
        <is>
          <t>Closed-loop E2E report; outcome linkage checks
0.5 ngày • AM • sau M7.4</t>
        </is>
      </c>
      <c r="J81" s="24" t="inlineStr">
        <is>
          <t>Not Started</t>
        </is>
      </c>
      <c r="CM81" s="25" t="inlineStr">
        <is>
          <t>•</t>
        </is>
      </c>
    </row>
    <row r="82" ht="62.25" customHeight="1">
      <c r="D82" s="22" t="inlineStr">
        <is>
          <t>M7.G</t>
        </is>
      </c>
      <c r="E82" s="22" t="inlineStr">
        <is>
          <t>G7 — Review, nghiệm thu và báo cáo giai đoạn</t>
        </is>
      </c>
      <c r="F82" s="23" t="n">
        <v>46401</v>
      </c>
      <c r="G82" s="23" t="n">
        <v>46401</v>
      </c>
      <c r="H82" s="22" t="inlineStr">
        <is>
          <t>Trần Đình Khương</t>
        </is>
      </c>
      <c r="I82" s="22" t="inlineStr">
        <is>
          <t>docs/reports/milestones/m7-review.md; checklist; demo; manifest phiên bản
0.5 ngày • PM • sau M7.5</t>
        </is>
      </c>
      <c r="J82" s="24" t="inlineStr">
        <is>
          <t>Not Started</t>
        </is>
      </c>
      <c r="CM82" s="25" t="inlineStr">
        <is>
          <t>◆</t>
        </is>
      </c>
    </row>
    <row r="83" ht="62.25" customHeight="1">
      <c r="D83" s="31" t="inlineStr">
        <is>
          <t>M7.B</t>
        </is>
      </c>
      <c r="E83" s="31" t="inlineStr">
        <is>
          <t>Dự phòng sửa lỗi, tích hợp hoặc nghỉ theo lịch thực tế</t>
        </is>
      </c>
      <c r="F83" s="32" t="n">
        <v>46402</v>
      </c>
      <c r="G83" s="32" t="n">
        <v>46402</v>
      </c>
      <c r="H83" s="31" t="inlineStr">
        <is>
          <t>Trần Đình Khương</t>
        </is>
      </c>
      <c r="I83" s="31" t="inlineStr">
        <is>
          <t>Gate được kiểm tra lại; nhật ký sử dụng dự phòng và lịch cập nhật
Reserve</t>
        </is>
      </c>
      <c r="J83" s="33" t="inlineStr">
        <is>
          <t>Contingency</t>
        </is>
      </c>
      <c r="CN83" s="34" t="inlineStr">
        <is>
          <t>•</t>
        </is>
      </c>
    </row>
    <row r="84" ht="87.75" customHeight="1">
      <c r="B84" s="19" t="inlineStr">
        <is>
          <t>M8</t>
        </is>
      </c>
      <c r="C84" s="39" t="n"/>
      <c r="D84" s="39" t="n"/>
      <c r="E84" s="19" t="inlineStr">
        <is>
          <t>Tích hợp, vận hành và bàn giao</t>
        </is>
      </c>
      <c r="F84" s="20" t="n">
        <v>46405</v>
      </c>
      <c r="G84" s="20" t="n">
        <v>46416</v>
      </c>
      <c r="H84" s="19" t="inlineStr">
        <is>
          <t>Trần Đình Khương</t>
        </is>
      </c>
      <c r="I84" s="19" t="inlineStr">
        <is>
          <t>Release bundle, 5 UAT demos, eval suite, deploy/IaC package, runbooks, rollback evidence và coverage ledger.</t>
        </is>
      </c>
      <c r="J84" s="19">
        <f>IF(COUNTIF(J85:J93,"Done")=9,"Done",IF(COUNTIF(J85:J93,"Blocked")&gt;0,"Blocked",IF(COUNTIF(J85:J93,"Done")+COUNTIF(J85:J93,"In Progress")&gt;0,"In Progress","Not Started")))</f>
        <v/>
      </c>
      <c r="CQ84" s="21" t="inlineStr">
        <is>
          <t>•</t>
        </is>
      </c>
      <c r="CR84" s="21" t="inlineStr">
        <is>
          <t>•</t>
        </is>
      </c>
      <c r="CS84" s="21" t="inlineStr">
        <is>
          <t>•</t>
        </is>
      </c>
      <c r="CT84" s="21" t="inlineStr">
        <is>
          <t>•</t>
        </is>
      </c>
      <c r="CU84" s="21" t="inlineStr">
        <is>
          <t>•</t>
        </is>
      </c>
      <c r="CX84" s="21" t="inlineStr">
        <is>
          <t>•</t>
        </is>
      </c>
      <c r="CY84" s="21" t="inlineStr">
        <is>
          <t>•</t>
        </is>
      </c>
      <c r="CZ84" s="21" t="inlineStr">
        <is>
          <t>•</t>
        </is>
      </c>
      <c r="DA84" s="21" t="inlineStr">
        <is>
          <t>•</t>
        </is>
      </c>
      <c r="DB84" s="21" t="inlineStr">
        <is>
          <t>•</t>
        </is>
      </c>
    </row>
    <row r="85" ht="62.25" customHeight="1">
      <c r="D85" s="31" t="inlineStr">
        <is>
          <t>M8.1</t>
        </is>
      </c>
      <c r="E85" s="31" t="inlineStr">
        <is>
          <t>CI, AI gates và artifact release bất biến</t>
        </is>
      </c>
      <c r="F85" s="32" t="n">
        <v>46405</v>
      </c>
      <c r="G85" s="32" t="n">
        <v>46405</v>
      </c>
      <c r="H85" s="31" t="inlineStr">
        <is>
          <t>Trần Đình Khương</t>
        </is>
      </c>
      <c r="I85" s="31" t="inlineStr">
        <is>
          <t>Release workflow + run-manifest + reproducibility scripts
1 ngày • AM • sau M7.G</t>
        </is>
      </c>
      <c r="J85" s="24" t="inlineStr">
        <is>
          <t>Not Started</t>
        </is>
      </c>
      <c r="CQ85" s="25" t="inlineStr">
        <is>
          <t>•</t>
        </is>
      </c>
    </row>
    <row r="86" ht="62.25" customHeight="1">
      <c r="D86" s="22" t="inlineStr">
        <is>
          <t>M8.2</t>
        </is>
      </c>
      <c r="E86" s="22" t="inlineStr">
        <is>
          <t>Hạ tầng và phân quyền deployment mục tiêu</t>
        </is>
      </c>
      <c r="F86" s="23" t="n">
        <v>46406</v>
      </c>
      <c r="G86" s="23" t="n">
        <v>46406</v>
      </c>
      <c r="H86" s="22" t="inlineStr">
        <is>
          <t>Trần Đình Khương</t>
        </is>
      </c>
      <c r="I86" s="22" t="inlineStr">
        <is>
          <t>IaC/chart package; IAM matrix; rendered manifests; cloud cost/prerequisite record
1 ngày • AM • sau M8.1</t>
        </is>
      </c>
      <c r="J86" s="24" t="inlineStr">
        <is>
          <t>Not Started</t>
        </is>
      </c>
      <c r="CR86" s="25" t="inlineStr">
        <is>
          <t>•</t>
        </is>
      </c>
    </row>
    <row r="87" ht="62.25" customHeight="1">
      <c r="D87" s="31" t="inlineStr">
        <is>
          <t>M8.3</t>
        </is>
      </c>
      <c r="E87" s="31" t="inlineStr">
        <is>
          <t>Deploy demo và health/observability thật</t>
        </is>
      </c>
      <c r="F87" s="32" t="n">
        <v>46407</v>
      </c>
      <c r="G87" s="32" t="n">
        <v>46407</v>
      </c>
      <c r="H87" s="31" t="inlineStr">
        <is>
          <t>Trần Đình Khương</t>
        </is>
      </c>
      <c r="I87" s="31" t="inlineStr">
        <is>
          <t>Runnable environment; deploy smoke evidence; production-target status
1 ngày • AM • sau M8.2</t>
        </is>
      </c>
      <c r="J87" s="24" t="inlineStr">
        <is>
          <t>Not Started</t>
        </is>
      </c>
      <c r="CS87" s="25" t="inlineStr">
        <is>
          <t>•</t>
        </is>
      </c>
    </row>
    <row r="88" ht="62.25" customHeight="1">
      <c r="D88" s="22" t="inlineStr">
        <is>
          <t>M8.4</t>
        </is>
      </c>
      <c r="E88" s="22" t="inlineStr">
        <is>
          <t>Load, failure, latency và sizing</t>
        </is>
      </c>
      <c r="F88" s="23" t="n">
        <v>46408</v>
      </c>
      <c r="G88" s="23" t="n">
        <v>46408</v>
      </c>
      <c r="H88" s="22" t="inlineStr">
        <is>
          <t>Trần Đình Khương</t>
        </is>
      </c>
      <c r="I88" s="22" t="inlineStr">
        <is>
          <t>Load/failure report + measured resource envelope + tuned config
1 ngày • AM • sau M8.3</t>
        </is>
      </c>
      <c r="J88" s="24" t="inlineStr">
        <is>
          <t>Not Started</t>
        </is>
      </c>
      <c r="CT88" s="25" t="inlineStr">
        <is>
          <t>•</t>
        </is>
      </c>
    </row>
    <row r="89" ht="62.25" customHeight="1">
      <c r="D89" s="31" t="inlineStr">
        <is>
          <t>M8.5</t>
        </is>
      </c>
      <c r="E89" s="31" t="inlineStr">
        <is>
          <t>Privacy/access, backup và rollback drill</t>
        </is>
      </c>
      <c r="F89" s="32" t="n">
        <v>46409</v>
      </c>
      <c r="G89" s="32" t="n">
        <v>46409</v>
      </c>
      <c r="H89" s="31" t="inlineStr">
        <is>
          <t>Trần Đình Khương</t>
        </is>
      </c>
      <c r="I89" s="31" t="inlineStr">
        <is>
          <t>Security regression; restore/rollback timings; runbooks
1 ngày • AM • sau M8.4</t>
        </is>
      </c>
      <c r="J89" s="24" t="inlineStr">
        <is>
          <t>Not Started</t>
        </is>
      </c>
      <c r="CU89" s="25" t="inlineStr">
        <is>
          <t>•</t>
        </is>
      </c>
    </row>
    <row r="90" ht="62.25" customHeight="1">
      <c r="D90" s="22" t="inlineStr">
        <is>
          <t>M8.6</t>
        </is>
      </c>
      <c r="E90" s="22" t="inlineStr">
        <is>
          <t>UAT 5 vai trò và full regression</t>
        </is>
      </c>
      <c r="F90" s="23" t="n">
        <v>46412</v>
      </c>
      <c r="G90" s="23" t="n">
        <v>46412</v>
      </c>
      <c r="H90" s="22" t="inlineStr">
        <is>
          <t>Trần Đình Khương</t>
        </is>
      </c>
      <c r="I90" s="22" t="inlineStr">
        <is>
          <t>UAT matrix; recordings; final evaluation tables; coverage status
1 ngày • AM • sau M8.5</t>
        </is>
      </c>
      <c r="J90" s="24" t="inlineStr">
        <is>
          <t>Not Started</t>
        </is>
      </c>
      <c r="CX90" s="25" t="inlineStr">
        <is>
          <t>•</t>
        </is>
      </c>
    </row>
    <row r="91" ht="62.25" customHeight="1">
      <c r="D91" s="31" t="inlineStr">
        <is>
          <t>M8.7</t>
        </is>
      </c>
      <c r="E91" s="31" t="inlineStr">
        <is>
          <t>Business KPI đối chiếu baseline</t>
        </is>
      </c>
      <c r="F91" s="32" t="n">
        <v>46413</v>
      </c>
      <c r="G91" s="32" t="n">
        <v>46413</v>
      </c>
      <c r="H91" s="31" t="inlineStr">
        <is>
          <t>Trần Đình Khương</t>
        </is>
      </c>
      <c r="I91" s="31" t="inlineStr">
        <is>
          <t>Business KPI report; measurement limitations; post-demo pilot plan
0.5 ngày • AM • sau M8.6</t>
        </is>
      </c>
      <c r="J91" s="24" t="inlineStr">
        <is>
          <t>Not Started</t>
        </is>
      </c>
      <c r="CY91" s="25" t="inlineStr">
        <is>
          <t>•</t>
        </is>
      </c>
    </row>
    <row r="92" ht="62.25" customHeight="1">
      <c r="D92" s="22" t="inlineStr">
        <is>
          <t>M8.8</t>
        </is>
      </c>
      <c r="E92" s="22" t="inlineStr">
        <is>
          <t>Tài liệu bàn giao và bộ demo tái lập</t>
        </is>
      </c>
      <c r="F92" s="23" t="n">
        <v>46413</v>
      </c>
      <c r="G92" s="23" t="n">
        <v>46414</v>
      </c>
      <c r="H92" s="22" t="inlineStr">
        <is>
          <t>Trần Đình Khương</t>
        </is>
      </c>
      <c r="I92" s="22" t="inlineStr">
        <is>
          <t>Final report; release archive; handover checklist; demo guide
1 ngày • PM • sau M8.7</t>
        </is>
      </c>
      <c r="J92" s="24" t="inlineStr">
        <is>
          <t>Not Started</t>
        </is>
      </c>
      <c r="CY92" s="25" t="inlineStr">
        <is>
          <t>•</t>
        </is>
      </c>
      <c r="CZ92" s="25" t="inlineStr">
        <is>
          <t>•</t>
        </is>
      </c>
    </row>
    <row r="93" ht="62.25" customHeight="1">
      <c r="D93" s="31" t="inlineStr">
        <is>
          <t>M8.G</t>
        </is>
      </c>
      <c r="E93" s="31" t="inlineStr">
        <is>
          <t>G8 — Review, nghiệm thu và báo cáo giai đoạn</t>
        </is>
      </c>
      <c r="F93" s="32" t="n">
        <v>46414</v>
      </c>
      <c r="G93" s="32" t="n">
        <v>46414</v>
      </c>
      <c r="H93" s="31" t="inlineStr">
        <is>
          <t>Trần Đình Khương</t>
        </is>
      </c>
      <c r="I93" s="31" t="inlineStr">
        <is>
          <t>docs/reports/milestones/m8-review.md; checklist; demo; manifest phiên bản
0.5 ngày • PM • sau M8.8</t>
        </is>
      </c>
      <c r="J93" s="24" t="inlineStr">
        <is>
          <t>Not Started</t>
        </is>
      </c>
      <c r="CZ93" s="25" t="inlineStr">
        <is>
          <t>◆</t>
        </is>
      </c>
    </row>
    <row r="94" ht="62.25" customHeight="1">
      <c r="D94" s="22" t="inlineStr">
        <is>
          <t>M8.B</t>
        </is>
      </c>
      <c r="E94" s="22" t="inlineStr">
        <is>
          <t>Dự phòng sửa lỗi, tích hợp hoặc nghỉ theo lịch thực tế</t>
        </is>
      </c>
      <c r="F94" s="23" t="n">
        <v>46415</v>
      </c>
      <c r="G94" s="23" t="n">
        <v>46416</v>
      </c>
      <c r="H94" s="22" t="inlineStr">
        <is>
          <t>Trần Đình Khương</t>
        </is>
      </c>
      <c r="I94" s="22" t="inlineStr">
        <is>
          <t>Gate được kiểm tra lại; nhật ký sử dụng dự phòng và lịch cập nhật
Reserve</t>
        </is>
      </c>
      <c r="J94" s="33" t="inlineStr">
        <is>
          <t>Contingency</t>
        </is>
      </c>
      <c r="DA94" s="34" t="inlineStr">
        <is>
          <t>•</t>
        </is>
      </c>
      <c r="DB94" s="34" t="inlineStr">
        <is>
          <t>•</t>
        </is>
      </c>
    </row>
  </sheetData>
  <mergeCells count="34">
    <mergeCell ref="A1:J1"/>
    <mergeCell ref="A2:J2"/>
    <mergeCell ref="B4:J4"/>
    <mergeCell ref="B5:J5"/>
    <mergeCell ref="B6:J6"/>
    <mergeCell ref="B8:E10"/>
    <mergeCell ref="F8:F10"/>
    <mergeCell ref="G8:G10"/>
    <mergeCell ref="H8:H10"/>
    <mergeCell ref="I8:I10"/>
    <mergeCell ref="J8:J10"/>
    <mergeCell ref="K8:Q8"/>
    <mergeCell ref="R8:X8"/>
    <mergeCell ref="Y8:AE8"/>
    <mergeCell ref="AF8:AL8"/>
    <mergeCell ref="AM8:AS8"/>
    <mergeCell ref="AT8:AZ8"/>
    <mergeCell ref="BA8:BG8"/>
    <mergeCell ref="BH8:BN8"/>
    <mergeCell ref="BO8:BU8"/>
    <mergeCell ref="BV8:CB8"/>
    <mergeCell ref="CC8:CI8"/>
    <mergeCell ref="CJ8:CP8"/>
    <mergeCell ref="CQ8:CW8"/>
    <mergeCell ref="CX8:DD8"/>
    <mergeCell ref="B11:D11"/>
    <mergeCell ref="B18:D18"/>
    <mergeCell ref="B25:D25"/>
    <mergeCell ref="B36:D36"/>
    <mergeCell ref="B47:D47"/>
    <mergeCell ref="B57:D57"/>
    <mergeCell ref="B64:D64"/>
    <mergeCell ref="B76:D76"/>
    <mergeCell ref="B84:D84"/>
  </mergeCells>
  <conditionalFormatting sqref="K11:DD11">
    <cfRule type="expression" priority="1" dxfId="0">
      <formula>AND($J11="Not Started",K11&lt;&gt;"")</formula>
    </cfRule>
    <cfRule type="expression" priority="2" dxfId="1">
      <formula>AND($J11="In Progress",K11&lt;&gt;"")</formula>
    </cfRule>
    <cfRule type="expression" priority="3" dxfId="2">
      <formula>AND($J11="Done",K11&lt;&gt;"")</formula>
    </cfRule>
    <cfRule type="expression" priority="4" dxfId="3">
      <formula>AND($J11="Blocked",K11&lt;&gt;"")</formula>
    </cfRule>
    <cfRule type="expression" priority="5" dxfId="4">
      <formula>AND($J11="Deferred",K11&lt;&gt;"")</formula>
    </cfRule>
    <cfRule type="expression" priority="6" dxfId="5">
      <formula>AND($J11="Contingency",K11&lt;&gt;"")</formula>
    </cfRule>
  </conditionalFormatting>
  <conditionalFormatting sqref="K12:DD12">
    <cfRule type="expression" priority="7" dxfId="0">
      <formula>AND($J12="Not Started",K12&lt;&gt;"")</formula>
    </cfRule>
    <cfRule type="expression" priority="8" dxfId="1">
      <formula>AND($J12="In Progress",K12&lt;&gt;"")</formula>
    </cfRule>
    <cfRule type="expression" priority="9" dxfId="2">
      <formula>AND($J12="Done",K12&lt;&gt;"")</formula>
    </cfRule>
    <cfRule type="expression" priority="10" dxfId="3">
      <formula>AND($J12="Blocked",K12&lt;&gt;"")</formula>
    </cfRule>
    <cfRule type="expression" priority="11" dxfId="4">
      <formula>AND($J12="Deferred",K12&lt;&gt;"")</formula>
    </cfRule>
    <cfRule type="expression" priority="12" dxfId="5">
      <formula>AND($J12="Contingency",K12&lt;&gt;"")</formula>
    </cfRule>
  </conditionalFormatting>
  <conditionalFormatting sqref="K13:DD13">
    <cfRule type="expression" priority="13" dxfId="0">
      <formula>AND($J13="Not Started",K13&lt;&gt;"")</formula>
    </cfRule>
    <cfRule type="expression" priority="14" dxfId="1">
      <formula>AND($J13="In Progress",K13&lt;&gt;"")</formula>
    </cfRule>
    <cfRule type="expression" priority="15" dxfId="2">
      <formula>AND($J13="Done",K13&lt;&gt;"")</formula>
    </cfRule>
    <cfRule type="expression" priority="16" dxfId="3">
      <formula>AND($J13="Blocked",K13&lt;&gt;"")</formula>
    </cfRule>
    <cfRule type="expression" priority="17" dxfId="4">
      <formula>AND($J13="Deferred",K13&lt;&gt;"")</formula>
    </cfRule>
    <cfRule type="expression" priority="18" dxfId="5">
      <formula>AND($J13="Contingency",K13&lt;&gt;"")</formula>
    </cfRule>
  </conditionalFormatting>
  <conditionalFormatting sqref="K14:DD14">
    <cfRule type="expression" priority="19" dxfId="0">
      <formula>AND($J14="Not Started",K14&lt;&gt;"")</formula>
    </cfRule>
    <cfRule type="expression" priority="20" dxfId="1">
      <formula>AND($J14="In Progress",K14&lt;&gt;"")</formula>
    </cfRule>
    <cfRule type="expression" priority="21" dxfId="2">
      <formula>AND($J14="Done",K14&lt;&gt;"")</formula>
    </cfRule>
    <cfRule type="expression" priority="22" dxfId="3">
      <formula>AND($J14="Blocked",K14&lt;&gt;"")</formula>
    </cfRule>
    <cfRule type="expression" priority="23" dxfId="4">
      <formula>AND($J14="Deferred",K14&lt;&gt;"")</formula>
    </cfRule>
    <cfRule type="expression" priority="24" dxfId="5">
      <formula>AND($J14="Contingency",K14&lt;&gt;"")</formula>
    </cfRule>
  </conditionalFormatting>
  <conditionalFormatting sqref="K15:DD15">
    <cfRule type="expression" priority="25" dxfId="0">
      <formula>AND($J15="Not Started",K15&lt;&gt;"")</formula>
    </cfRule>
    <cfRule type="expression" priority="26" dxfId="1">
      <formula>AND($J15="In Progress",K15&lt;&gt;"")</formula>
    </cfRule>
    <cfRule type="expression" priority="27" dxfId="2">
      <formula>AND($J15="Done",K15&lt;&gt;"")</formula>
    </cfRule>
    <cfRule type="expression" priority="28" dxfId="3">
      <formula>AND($J15="Blocked",K15&lt;&gt;"")</formula>
    </cfRule>
    <cfRule type="expression" priority="29" dxfId="4">
      <formula>AND($J15="Deferred",K15&lt;&gt;"")</formula>
    </cfRule>
    <cfRule type="expression" priority="30" dxfId="5">
      <formula>AND($J15="Contingency",K15&lt;&gt;"")</formula>
    </cfRule>
  </conditionalFormatting>
  <conditionalFormatting sqref="K16:DD16">
    <cfRule type="expression" priority="31" dxfId="0">
      <formula>AND($J16="Not Started",K16&lt;&gt;"")</formula>
    </cfRule>
    <cfRule type="expression" priority="32" dxfId="1">
      <formula>AND($J16="In Progress",K16&lt;&gt;"")</formula>
    </cfRule>
    <cfRule type="expression" priority="33" dxfId="2">
      <formula>AND($J16="Done",K16&lt;&gt;"")</formula>
    </cfRule>
    <cfRule type="expression" priority="34" dxfId="3">
      <formula>AND($J16="Blocked",K16&lt;&gt;"")</formula>
    </cfRule>
    <cfRule type="expression" priority="35" dxfId="4">
      <formula>AND($J16="Deferred",K16&lt;&gt;"")</formula>
    </cfRule>
    <cfRule type="expression" priority="36" dxfId="5">
      <formula>AND($J16="Contingency",K16&lt;&gt;"")</formula>
    </cfRule>
  </conditionalFormatting>
  <conditionalFormatting sqref="K17:DD17">
    <cfRule type="expression" priority="37" dxfId="0">
      <formula>AND($J17="Not Started",K17&lt;&gt;"")</formula>
    </cfRule>
    <cfRule type="expression" priority="38" dxfId="1">
      <formula>AND($J17="In Progress",K17&lt;&gt;"")</formula>
    </cfRule>
    <cfRule type="expression" priority="39" dxfId="2">
      <formula>AND($J17="Done",K17&lt;&gt;"")</formula>
    </cfRule>
    <cfRule type="expression" priority="40" dxfId="3">
      <formula>AND($J17="Blocked",K17&lt;&gt;"")</formula>
    </cfRule>
    <cfRule type="expression" priority="41" dxfId="4">
      <formula>AND($J17="Deferred",K17&lt;&gt;"")</formula>
    </cfRule>
    <cfRule type="expression" priority="42" dxfId="5">
      <formula>AND($J17="Contingency",K17&lt;&gt;"")</formula>
    </cfRule>
  </conditionalFormatting>
  <conditionalFormatting sqref="K18:DD18">
    <cfRule type="expression" priority="43" dxfId="0">
      <formula>AND($J18="Not Started",K18&lt;&gt;"")</formula>
    </cfRule>
    <cfRule type="expression" priority="44" dxfId="1">
      <formula>AND($J18="In Progress",K18&lt;&gt;"")</formula>
    </cfRule>
    <cfRule type="expression" priority="45" dxfId="2">
      <formula>AND($J18="Done",K18&lt;&gt;"")</formula>
    </cfRule>
    <cfRule type="expression" priority="46" dxfId="3">
      <formula>AND($J18="Blocked",K18&lt;&gt;"")</formula>
    </cfRule>
    <cfRule type="expression" priority="47" dxfId="4">
      <formula>AND($J18="Deferred",K18&lt;&gt;"")</formula>
    </cfRule>
    <cfRule type="expression" priority="48" dxfId="5">
      <formula>AND($J18="Contingency",K18&lt;&gt;"")</formula>
    </cfRule>
  </conditionalFormatting>
  <conditionalFormatting sqref="K19:DD19">
    <cfRule type="expression" priority="49" dxfId="0">
      <formula>AND($J19="Not Started",K19&lt;&gt;"")</formula>
    </cfRule>
    <cfRule type="expression" priority="50" dxfId="1">
      <formula>AND($J19="In Progress",K19&lt;&gt;"")</formula>
    </cfRule>
    <cfRule type="expression" priority="51" dxfId="2">
      <formula>AND($J19="Done",K19&lt;&gt;"")</formula>
    </cfRule>
    <cfRule type="expression" priority="52" dxfId="3">
      <formula>AND($J19="Blocked",K19&lt;&gt;"")</formula>
    </cfRule>
    <cfRule type="expression" priority="53" dxfId="4">
      <formula>AND($J19="Deferred",K19&lt;&gt;"")</formula>
    </cfRule>
    <cfRule type="expression" priority="54" dxfId="5">
      <formula>AND($J19="Contingency",K19&lt;&gt;"")</formula>
    </cfRule>
  </conditionalFormatting>
  <conditionalFormatting sqref="K20:DD20">
    <cfRule type="expression" priority="55" dxfId="0">
      <formula>AND($J20="Not Started",K20&lt;&gt;"")</formula>
    </cfRule>
    <cfRule type="expression" priority="56" dxfId="1">
      <formula>AND($J20="In Progress",K20&lt;&gt;"")</formula>
    </cfRule>
    <cfRule type="expression" priority="57" dxfId="2">
      <formula>AND($J20="Done",K20&lt;&gt;"")</formula>
    </cfRule>
    <cfRule type="expression" priority="58" dxfId="3">
      <formula>AND($J20="Blocked",K20&lt;&gt;"")</formula>
    </cfRule>
    <cfRule type="expression" priority="59" dxfId="4">
      <formula>AND($J20="Deferred",K20&lt;&gt;"")</formula>
    </cfRule>
    <cfRule type="expression" priority="60" dxfId="5">
      <formula>AND($J20="Contingency",K20&lt;&gt;"")</formula>
    </cfRule>
  </conditionalFormatting>
  <conditionalFormatting sqref="K21:DD21">
    <cfRule type="expression" priority="61" dxfId="0">
      <formula>AND($J21="Not Started",K21&lt;&gt;"")</formula>
    </cfRule>
    <cfRule type="expression" priority="62" dxfId="1">
      <formula>AND($J21="In Progress",K21&lt;&gt;"")</formula>
    </cfRule>
    <cfRule type="expression" priority="63" dxfId="2">
      <formula>AND($J21="Done",K21&lt;&gt;"")</formula>
    </cfRule>
    <cfRule type="expression" priority="64" dxfId="3">
      <formula>AND($J21="Blocked",K21&lt;&gt;"")</formula>
    </cfRule>
    <cfRule type="expression" priority="65" dxfId="4">
      <formula>AND($J21="Deferred",K21&lt;&gt;"")</formula>
    </cfRule>
    <cfRule type="expression" priority="66" dxfId="5">
      <formula>AND($J21="Contingency",K21&lt;&gt;"")</formula>
    </cfRule>
  </conditionalFormatting>
  <conditionalFormatting sqref="K22:DD22">
    <cfRule type="expression" priority="67" dxfId="0">
      <formula>AND($J22="Not Started",K22&lt;&gt;"")</formula>
    </cfRule>
    <cfRule type="expression" priority="68" dxfId="1">
      <formula>AND($J22="In Progress",K22&lt;&gt;"")</formula>
    </cfRule>
    <cfRule type="expression" priority="69" dxfId="2">
      <formula>AND($J22="Done",K22&lt;&gt;"")</formula>
    </cfRule>
    <cfRule type="expression" priority="70" dxfId="3">
      <formula>AND($J22="Blocked",K22&lt;&gt;"")</formula>
    </cfRule>
    <cfRule type="expression" priority="71" dxfId="4">
      <formula>AND($J22="Deferred",K22&lt;&gt;"")</formula>
    </cfRule>
    <cfRule type="expression" priority="72" dxfId="5">
      <formula>AND($J22="Contingency",K22&lt;&gt;"")</formula>
    </cfRule>
  </conditionalFormatting>
  <conditionalFormatting sqref="K23:DD23">
    <cfRule type="expression" priority="73" dxfId="0">
      <formula>AND($J23="Not Started",K23&lt;&gt;"")</formula>
    </cfRule>
    <cfRule type="expression" priority="74" dxfId="1">
      <formula>AND($J23="In Progress",K23&lt;&gt;"")</formula>
    </cfRule>
    <cfRule type="expression" priority="75" dxfId="2">
      <formula>AND($J23="Done",K23&lt;&gt;"")</formula>
    </cfRule>
    <cfRule type="expression" priority="76" dxfId="3">
      <formula>AND($J23="Blocked",K23&lt;&gt;"")</formula>
    </cfRule>
    <cfRule type="expression" priority="77" dxfId="4">
      <formula>AND($J23="Deferred",K23&lt;&gt;"")</formula>
    </cfRule>
    <cfRule type="expression" priority="78" dxfId="5">
      <formula>AND($J23="Contingency",K23&lt;&gt;"")</formula>
    </cfRule>
  </conditionalFormatting>
  <conditionalFormatting sqref="K24:DD24">
    <cfRule type="expression" priority="79" dxfId="0">
      <formula>AND($J24="Not Started",K24&lt;&gt;"")</formula>
    </cfRule>
    <cfRule type="expression" priority="80" dxfId="1">
      <formula>AND($J24="In Progress",K24&lt;&gt;"")</formula>
    </cfRule>
    <cfRule type="expression" priority="81" dxfId="2">
      <formula>AND($J24="Done",K24&lt;&gt;"")</formula>
    </cfRule>
    <cfRule type="expression" priority="82" dxfId="3">
      <formula>AND($J24="Blocked",K24&lt;&gt;"")</formula>
    </cfRule>
    <cfRule type="expression" priority="83" dxfId="4">
      <formula>AND($J24="Deferred",K24&lt;&gt;"")</formula>
    </cfRule>
    <cfRule type="expression" priority="84" dxfId="5">
      <formula>AND($J24="Contingency",K24&lt;&gt;"")</formula>
    </cfRule>
  </conditionalFormatting>
  <conditionalFormatting sqref="K25:DD25">
    <cfRule type="expression" priority="85" dxfId="0">
      <formula>AND($J25="Not Started",K25&lt;&gt;"")</formula>
    </cfRule>
    <cfRule type="expression" priority="86" dxfId="1">
      <formula>AND($J25="In Progress",K25&lt;&gt;"")</formula>
    </cfRule>
    <cfRule type="expression" priority="87" dxfId="2">
      <formula>AND($J25="Done",K25&lt;&gt;"")</formula>
    </cfRule>
    <cfRule type="expression" priority="88" dxfId="3">
      <formula>AND($J25="Blocked",K25&lt;&gt;"")</formula>
    </cfRule>
    <cfRule type="expression" priority="89" dxfId="4">
      <formula>AND($J25="Deferred",K25&lt;&gt;"")</formula>
    </cfRule>
    <cfRule type="expression" priority="90" dxfId="5">
      <formula>AND($J25="Contingency",K25&lt;&gt;"")</formula>
    </cfRule>
  </conditionalFormatting>
  <conditionalFormatting sqref="K26:DD26">
    <cfRule type="expression" priority="91" dxfId="0">
      <formula>AND($J26="Not Started",K26&lt;&gt;"")</formula>
    </cfRule>
    <cfRule type="expression" priority="92" dxfId="1">
      <formula>AND($J26="In Progress",K26&lt;&gt;"")</formula>
    </cfRule>
    <cfRule type="expression" priority="93" dxfId="2">
      <formula>AND($J26="Done",K26&lt;&gt;"")</formula>
    </cfRule>
    <cfRule type="expression" priority="94" dxfId="3">
      <formula>AND($J26="Blocked",K26&lt;&gt;"")</formula>
    </cfRule>
    <cfRule type="expression" priority="95" dxfId="4">
      <formula>AND($J26="Deferred",K26&lt;&gt;"")</formula>
    </cfRule>
    <cfRule type="expression" priority="96" dxfId="5">
      <formula>AND($J26="Contingency",K26&lt;&gt;"")</formula>
    </cfRule>
  </conditionalFormatting>
  <conditionalFormatting sqref="K27:DD27">
    <cfRule type="expression" priority="97" dxfId="0">
      <formula>AND($J27="Not Started",K27&lt;&gt;"")</formula>
    </cfRule>
    <cfRule type="expression" priority="98" dxfId="1">
      <formula>AND($J27="In Progress",K27&lt;&gt;"")</formula>
    </cfRule>
    <cfRule type="expression" priority="99" dxfId="2">
      <formula>AND($J27="Done",K27&lt;&gt;"")</formula>
    </cfRule>
    <cfRule type="expression" priority="100" dxfId="3">
      <formula>AND($J27="Blocked",K27&lt;&gt;"")</formula>
    </cfRule>
    <cfRule type="expression" priority="101" dxfId="4">
      <formula>AND($J27="Deferred",K27&lt;&gt;"")</formula>
    </cfRule>
    <cfRule type="expression" priority="102" dxfId="5">
      <formula>AND($J27="Contingency",K27&lt;&gt;"")</formula>
    </cfRule>
  </conditionalFormatting>
  <conditionalFormatting sqref="K28:DD28">
    <cfRule type="expression" priority="103" dxfId="0">
      <formula>AND($J28="Not Started",K28&lt;&gt;"")</formula>
    </cfRule>
    <cfRule type="expression" priority="104" dxfId="1">
      <formula>AND($J28="In Progress",K28&lt;&gt;"")</formula>
    </cfRule>
    <cfRule type="expression" priority="105" dxfId="2">
      <formula>AND($J28="Done",K28&lt;&gt;"")</formula>
    </cfRule>
    <cfRule type="expression" priority="106" dxfId="3">
      <formula>AND($J28="Blocked",K28&lt;&gt;"")</formula>
    </cfRule>
    <cfRule type="expression" priority="107" dxfId="4">
      <formula>AND($J28="Deferred",K28&lt;&gt;"")</formula>
    </cfRule>
    <cfRule type="expression" priority="108" dxfId="5">
      <formula>AND($J28="Contingency",K28&lt;&gt;"")</formula>
    </cfRule>
  </conditionalFormatting>
  <conditionalFormatting sqref="K29:DD29">
    <cfRule type="expression" priority="109" dxfId="0">
      <formula>AND($J29="Not Started",K29&lt;&gt;"")</formula>
    </cfRule>
    <cfRule type="expression" priority="110" dxfId="1">
      <formula>AND($J29="In Progress",K29&lt;&gt;"")</formula>
    </cfRule>
    <cfRule type="expression" priority="111" dxfId="2">
      <formula>AND($J29="Done",K29&lt;&gt;"")</formula>
    </cfRule>
    <cfRule type="expression" priority="112" dxfId="3">
      <formula>AND($J29="Blocked",K29&lt;&gt;"")</formula>
    </cfRule>
    <cfRule type="expression" priority="113" dxfId="4">
      <formula>AND($J29="Deferred",K29&lt;&gt;"")</formula>
    </cfRule>
    <cfRule type="expression" priority="114" dxfId="5">
      <formula>AND($J29="Contingency",K29&lt;&gt;"")</formula>
    </cfRule>
  </conditionalFormatting>
  <conditionalFormatting sqref="K30:DD30">
    <cfRule type="expression" priority="115" dxfId="0">
      <formula>AND($J30="Not Started",K30&lt;&gt;"")</formula>
    </cfRule>
    <cfRule type="expression" priority="116" dxfId="1">
      <formula>AND($J30="In Progress",K30&lt;&gt;"")</formula>
    </cfRule>
    <cfRule type="expression" priority="117" dxfId="2">
      <formula>AND($J30="Done",K30&lt;&gt;"")</formula>
    </cfRule>
    <cfRule type="expression" priority="118" dxfId="3">
      <formula>AND($J30="Blocked",K30&lt;&gt;"")</formula>
    </cfRule>
    <cfRule type="expression" priority="119" dxfId="4">
      <formula>AND($J30="Deferred",K30&lt;&gt;"")</formula>
    </cfRule>
    <cfRule type="expression" priority="120" dxfId="5">
      <formula>AND($J30="Contingency",K30&lt;&gt;"")</formula>
    </cfRule>
  </conditionalFormatting>
  <conditionalFormatting sqref="K31:DD31">
    <cfRule type="expression" priority="121" dxfId="0">
      <formula>AND($J31="Not Started",K31&lt;&gt;"")</formula>
    </cfRule>
    <cfRule type="expression" priority="122" dxfId="1">
      <formula>AND($J31="In Progress",K31&lt;&gt;"")</formula>
    </cfRule>
    <cfRule type="expression" priority="123" dxfId="2">
      <formula>AND($J31="Done",K31&lt;&gt;"")</formula>
    </cfRule>
    <cfRule type="expression" priority="124" dxfId="3">
      <formula>AND($J31="Blocked",K31&lt;&gt;"")</formula>
    </cfRule>
    <cfRule type="expression" priority="125" dxfId="4">
      <formula>AND($J31="Deferred",K31&lt;&gt;"")</formula>
    </cfRule>
    <cfRule type="expression" priority="126" dxfId="5">
      <formula>AND($J31="Contingency",K31&lt;&gt;"")</formula>
    </cfRule>
  </conditionalFormatting>
  <conditionalFormatting sqref="K32:DD32">
    <cfRule type="expression" priority="127" dxfId="0">
      <formula>AND($J32="Not Started",K32&lt;&gt;"")</formula>
    </cfRule>
    <cfRule type="expression" priority="128" dxfId="1">
      <formula>AND($J32="In Progress",K32&lt;&gt;"")</formula>
    </cfRule>
    <cfRule type="expression" priority="129" dxfId="2">
      <formula>AND($J32="Done",K32&lt;&gt;"")</formula>
    </cfRule>
    <cfRule type="expression" priority="130" dxfId="3">
      <formula>AND($J32="Blocked",K32&lt;&gt;"")</formula>
    </cfRule>
    <cfRule type="expression" priority="131" dxfId="4">
      <formula>AND($J32="Deferred",K32&lt;&gt;"")</formula>
    </cfRule>
    <cfRule type="expression" priority="132" dxfId="5">
      <formula>AND($J32="Contingency",K32&lt;&gt;"")</formula>
    </cfRule>
  </conditionalFormatting>
  <conditionalFormatting sqref="K33:DD33">
    <cfRule type="expression" priority="133" dxfId="0">
      <formula>AND($J33="Not Started",K33&lt;&gt;"")</formula>
    </cfRule>
    <cfRule type="expression" priority="134" dxfId="1">
      <formula>AND($J33="In Progress",K33&lt;&gt;"")</formula>
    </cfRule>
    <cfRule type="expression" priority="135" dxfId="2">
      <formula>AND($J33="Done",K33&lt;&gt;"")</formula>
    </cfRule>
    <cfRule type="expression" priority="136" dxfId="3">
      <formula>AND($J33="Blocked",K33&lt;&gt;"")</formula>
    </cfRule>
    <cfRule type="expression" priority="137" dxfId="4">
      <formula>AND($J33="Deferred",K33&lt;&gt;"")</formula>
    </cfRule>
    <cfRule type="expression" priority="138" dxfId="5">
      <formula>AND($J33="Contingency",K33&lt;&gt;"")</formula>
    </cfRule>
  </conditionalFormatting>
  <conditionalFormatting sqref="K34:DD34">
    <cfRule type="expression" priority="139" dxfId="0">
      <formula>AND($J34="Not Started",K34&lt;&gt;"")</formula>
    </cfRule>
    <cfRule type="expression" priority="140" dxfId="1">
      <formula>AND($J34="In Progress",K34&lt;&gt;"")</formula>
    </cfRule>
    <cfRule type="expression" priority="141" dxfId="2">
      <formula>AND($J34="Done",K34&lt;&gt;"")</formula>
    </cfRule>
    <cfRule type="expression" priority="142" dxfId="3">
      <formula>AND($J34="Blocked",K34&lt;&gt;"")</formula>
    </cfRule>
    <cfRule type="expression" priority="143" dxfId="4">
      <formula>AND($J34="Deferred",K34&lt;&gt;"")</formula>
    </cfRule>
    <cfRule type="expression" priority="144" dxfId="5">
      <formula>AND($J34="Contingency",K34&lt;&gt;"")</formula>
    </cfRule>
  </conditionalFormatting>
  <conditionalFormatting sqref="K35:DD35">
    <cfRule type="expression" priority="145" dxfId="0">
      <formula>AND($J35="Not Started",K35&lt;&gt;"")</formula>
    </cfRule>
    <cfRule type="expression" priority="146" dxfId="1">
      <formula>AND($J35="In Progress",K35&lt;&gt;"")</formula>
    </cfRule>
    <cfRule type="expression" priority="147" dxfId="2">
      <formula>AND($J35="Done",K35&lt;&gt;"")</formula>
    </cfRule>
    <cfRule type="expression" priority="148" dxfId="3">
      <formula>AND($J35="Blocked",K35&lt;&gt;"")</formula>
    </cfRule>
    <cfRule type="expression" priority="149" dxfId="4">
      <formula>AND($J35="Deferred",K35&lt;&gt;"")</formula>
    </cfRule>
    <cfRule type="expression" priority="150" dxfId="5">
      <formula>AND($J35="Contingency",K35&lt;&gt;"")</formula>
    </cfRule>
  </conditionalFormatting>
  <conditionalFormatting sqref="K36:DD36">
    <cfRule type="expression" priority="151" dxfId="0">
      <formula>AND($J36="Not Started",K36&lt;&gt;"")</formula>
    </cfRule>
    <cfRule type="expression" priority="152" dxfId="1">
      <formula>AND($J36="In Progress",K36&lt;&gt;"")</formula>
    </cfRule>
    <cfRule type="expression" priority="153" dxfId="2">
      <formula>AND($J36="Done",K36&lt;&gt;"")</formula>
    </cfRule>
    <cfRule type="expression" priority="154" dxfId="3">
      <formula>AND($J36="Blocked",K36&lt;&gt;"")</formula>
    </cfRule>
    <cfRule type="expression" priority="155" dxfId="4">
      <formula>AND($J36="Deferred",K36&lt;&gt;"")</formula>
    </cfRule>
    <cfRule type="expression" priority="156" dxfId="5">
      <formula>AND($J36="Contingency",K36&lt;&gt;"")</formula>
    </cfRule>
  </conditionalFormatting>
  <conditionalFormatting sqref="K37:DD37">
    <cfRule type="expression" priority="157" dxfId="0">
      <formula>AND($J37="Not Started",K37&lt;&gt;"")</formula>
    </cfRule>
    <cfRule type="expression" priority="158" dxfId="1">
      <formula>AND($J37="In Progress",K37&lt;&gt;"")</formula>
    </cfRule>
    <cfRule type="expression" priority="159" dxfId="2">
      <formula>AND($J37="Done",K37&lt;&gt;"")</formula>
    </cfRule>
    <cfRule type="expression" priority="160" dxfId="3">
      <formula>AND($J37="Blocked",K37&lt;&gt;"")</formula>
    </cfRule>
    <cfRule type="expression" priority="161" dxfId="4">
      <formula>AND($J37="Deferred",K37&lt;&gt;"")</formula>
    </cfRule>
    <cfRule type="expression" priority="162" dxfId="5">
      <formula>AND($J37="Contingency",K37&lt;&gt;"")</formula>
    </cfRule>
  </conditionalFormatting>
  <conditionalFormatting sqref="K38:DD38">
    <cfRule type="expression" priority="163" dxfId="0">
      <formula>AND($J38="Not Started",K38&lt;&gt;"")</formula>
    </cfRule>
    <cfRule type="expression" priority="164" dxfId="1">
      <formula>AND($J38="In Progress",K38&lt;&gt;"")</formula>
    </cfRule>
    <cfRule type="expression" priority="165" dxfId="2">
      <formula>AND($J38="Done",K38&lt;&gt;"")</formula>
    </cfRule>
    <cfRule type="expression" priority="166" dxfId="3">
      <formula>AND($J38="Blocked",K38&lt;&gt;"")</formula>
    </cfRule>
    <cfRule type="expression" priority="167" dxfId="4">
      <formula>AND($J38="Deferred",K38&lt;&gt;"")</formula>
    </cfRule>
    <cfRule type="expression" priority="168" dxfId="5">
      <formula>AND($J38="Contingency",K38&lt;&gt;"")</formula>
    </cfRule>
  </conditionalFormatting>
  <conditionalFormatting sqref="K39:DD39">
    <cfRule type="expression" priority="169" dxfId="0">
      <formula>AND($J39="Not Started",K39&lt;&gt;"")</formula>
    </cfRule>
    <cfRule type="expression" priority="170" dxfId="1">
      <formula>AND($J39="In Progress",K39&lt;&gt;"")</formula>
    </cfRule>
    <cfRule type="expression" priority="171" dxfId="2">
      <formula>AND($J39="Done",K39&lt;&gt;"")</formula>
    </cfRule>
    <cfRule type="expression" priority="172" dxfId="3">
      <formula>AND($J39="Blocked",K39&lt;&gt;"")</formula>
    </cfRule>
    <cfRule type="expression" priority="173" dxfId="4">
      <formula>AND($J39="Deferred",K39&lt;&gt;"")</formula>
    </cfRule>
    <cfRule type="expression" priority="174" dxfId="5">
      <formula>AND($J39="Contingency",K39&lt;&gt;"")</formula>
    </cfRule>
  </conditionalFormatting>
  <conditionalFormatting sqref="K40:DD40">
    <cfRule type="expression" priority="175" dxfId="0">
      <formula>AND($J40="Not Started",K40&lt;&gt;"")</formula>
    </cfRule>
    <cfRule type="expression" priority="176" dxfId="1">
      <formula>AND($J40="In Progress",K40&lt;&gt;"")</formula>
    </cfRule>
    <cfRule type="expression" priority="177" dxfId="2">
      <formula>AND($J40="Done",K40&lt;&gt;"")</formula>
    </cfRule>
    <cfRule type="expression" priority="178" dxfId="3">
      <formula>AND($J40="Blocked",K40&lt;&gt;"")</formula>
    </cfRule>
    <cfRule type="expression" priority="179" dxfId="4">
      <formula>AND($J40="Deferred",K40&lt;&gt;"")</formula>
    </cfRule>
    <cfRule type="expression" priority="180" dxfId="5">
      <formula>AND($J40="Contingency",K40&lt;&gt;"")</formula>
    </cfRule>
  </conditionalFormatting>
  <conditionalFormatting sqref="K41:DD41">
    <cfRule type="expression" priority="181" dxfId="0">
      <formula>AND($J41="Not Started",K41&lt;&gt;"")</formula>
    </cfRule>
    <cfRule type="expression" priority="182" dxfId="1">
      <formula>AND($J41="In Progress",K41&lt;&gt;"")</formula>
    </cfRule>
    <cfRule type="expression" priority="183" dxfId="2">
      <formula>AND($J41="Done",K41&lt;&gt;"")</formula>
    </cfRule>
    <cfRule type="expression" priority="184" dxfId="3">
      <formula>AND($J41="Blocked",K41&lt;&gt;"")</formula>
    </cfRule>
    <cfRule type="expression" priority="185" dxfId="4">
      <formula>AND($J41="Deferred",K41&lt;&gt;"")</formula>
    </cfRule>
    <cfRule type="expression" priority="186" dxfId="5">
      <formula>AND($J41="Contingency",K41&lt;&gt;"")</formula>
    </cfRule>
  </conditionalFormatting>
  <conditionalFormatting sqref="K42:DD42">
    <cfRule type="expression" priority="187" dxfId="0">
      <formula>AND($J42="Not Started",K42&lt;&gt;"")</formula>
    </cfRule>
    <cfRule type="expression" priority="188" dxfId="1">
      <formula>AND($J42="In Progress",K42&lt;&gt;"")</formula>
    </cfRule>
    <cfRule type="expression" priority="189" dxfId="2">
      <formula>AND($J42="Done",K42&lt;&gt;"")</formula>
    </cfRule>
    <cfRule type="expression" priority="190" dxfId="3">
      <formula>AND($J42="Blocked",K42&lt;&gt;"")</formula>
    </cfRule>
    <cfRule type="expression" priority="191" dxfId="4">
      <formula>AND($J42="Deferred",K42&lt;&gt;"")</formula>
    </cfRule>
    <cfRule type="expression" priority="192" dxfId="5">
      <formula>AND($J42="Contingency",K42&lt;&gt;"")</formula>
    </cfRule>
  </conditionalFormatting>
  <conditionalFormatting sqref="K43:DD43">
    <cfRule type="expression" priority="193" dxfId="0">
      <formula>AND($J43="Not Started",K43&lt;&gt;"")</formula>
    </cfRule>
    <cfRule type="expression" priority="194" dxfId="1">
      <formula>AND($J43="In Progress",K43&lt;&gt;"")</formula>
    </cfRule>
    <cfRule type="expression" priority="195" dxfId="2">
      <formula>AND($J43="Done",K43&lt;&gt;"")</formula>
    </cfRule>
    <cfRule type="expression" priority="196" dxfId="3">
      <formula>AND($J43="Blocked",K43&lt;&gt;"")</formula>
    </cfRule>
    <cfRule type="expression" priority="197" dxfId="4">
      <formula>AND($J43="Deferred",K43&lt;&gt;"")</formula>
    </cfRule>
    <cfRule type="expression" priority="198" dxfId="5">
      <formula>AND($J43="Contingency",K43&lt;&gt;"")</formula>
    </cfRule>
  </conditionalFormatting>
  <conditionalFormatting sqref="K44:DD44">
    <cfRule type="expression" priority="199" dxfId="0">
      <formula>AND($J44="Not Started",K44&lt;&gt;"")</formula>
    </cfRule>
    <cfRule type="expression" priority="200" dxfId="1">
      <formula>AND($J44="In Progress",K44&lt;&gt;"")</formula>
    </cfRule>
    <cfRule type="expression" priority="201" dxfId="2">
      <formula>AND($J44="Done",K44&lt;&gt;"")</formula>
    </cfRule>
    <cfRule type="expression" priority="202" dxfId="3">
      <formula>AND($J44="Blocked",K44&lt;&gt;"")</formula>
    </cfRule>
    <cfRule type="expression" priority="203" dxfId="4">
      <formula>AND($J44="Deferred",K44&lt;&gt;"")</formula>
    </cfRule>
    <cfRule type="expression" priority="204" dxfId="5">
      <formula>AND($J44="Contingency",K44&lt;&gt;"")</formula>
    </cfRule>
  </conditionalFormatting>
  <conditionalFormatting sqref="K45:DD45">
    <cfRule type="expression" priority="205" dxfId="0">
      <formula>AND($J45="Not Started",K45&lt;&gt;"")</formula>
    </cfRule>
    <cfRule type="expression" priority="206" dxfId="1">
      <formula>AND($J45="In Progress",K45&lt;&gt;"")</formula>
    </cfRule>
    <cfRule type="expression" priority="207" dxfId="2">
      <formula>AND($J45="Done",K45&lt;&gt;"")</formula>
    </cfRule>
    <cfRule type="expression" priority="208" dxfId="3">
      <formula>AND($J45="Blocked",K45&lt;&gt;"")</formula>
    </cfRule>
    <cfRule type="expression" priority="209" dxfId="4">
      <formula>AND($J45="Deferred",K45&lt;&gt;"")</formula>
    </cfRule>
    <cfRule type="expression" priority="210" dxfId="5">
      <formula>AND($J45="Contingency",K45&lt;&gt;"")</formula>
    </cfRule>
  </conditionalFormatting>
  <conditionalFormatting sqref="K46:DD46">
    <cfRule type="expression" priority="211" dxfId="0">
      <formula>AND($J46="Not Started",K46&lt;&gt;"")</formula>
    </cfRule>
    <cfRule type="expression" priority="212" dxfId="1">
      <formula>AND($J46="In Progress",K46&lt;&gt;"")</formula>
    </cfRule>
    <cfRule type="expression" priority="213" dxfId="2">
      <formula>AND($J46="Done",K46&lt;&gt;"")</formula>
    </cfRule>
    <cfRule type="expression" priority="214" dxfId="3">
      <formula>AND($J46="Blocked",K46&lt;&gt;"")</formula>
    </cfRule>
    <cfRule type="expression" priority="215" dxfId="4">
      <formula>AND($J46="Deferred",K46&lt;&gt;"")</formula>
    </cfRule>
    <cfRule type="expression" priority="216" dxfId="5">
      <formula>AND($J46="Contingency",K46&lt;&gt;"")</formula>
    </cfRule>
  </conditionalFormatting>
  <conditionalFormatting sqref="K47:DD47">
    <cfRule type="expression" priority="217" dxfId="0">
      <formula>AND($J47="Not Started",K47&lt;&gt;"")</formula>
    </cfRule>
    <cfRule type="expression" priority="218" dxfId="1">
      <formula>AND($J47="In Progress",K47&lt;&gt;"")</formula>
    </cfRule>
    <cfRule type="expression" priority="219" dxfId="2">
      <formula>AND($J47="Done",K47&lt;&gt;"")</formula>
    </cfRule>
    <cfRule type="expression" priority="220" dxfId="3">
      <formula>AND($J47="Blocked",K47&lt;&gt;"")</formula>
    </cfRule>
    <cfRule type="expression" priority="221" dxfId="4">
      <formula>AND($J47="Deferred",K47&lt;&gt;"")</formula>
    </cfRule>
    <cfRule type="expression" priority="222" dxfId="5">
      <formula>AND($J47="Contingency",K47&lt;&gt;"")</formula>
    </cfRule>
  </conditionalFormatting>
  <conditionalFormatting sqref="K48:DD48">
    <cfRule type="expression" priority="223" dxfId="0">
      <formula>AND($J48="Not Started",K48&lt;&gt;"")</formula>
    </cfRule>
    <cfRule type="expression" priority="224" dxfId="1">
      <formula>AND($J48="In Progress",K48&lt;&gt;"")</formula>
    </cfRule>
    <cfRule type="expression" priority="225" dxfId="2">
      <formula>AND($J48="Done",K48&lt;&gt;"")</formula>
    </cfRule>
    <cfRule type="expression" priority="226" dxfId="3">
      <formula>AND($J48="Blocked",K48&lt;&gt;"")</formula>
    </cfRule>
    <cfRule type="expression" priority="227" dxfId="4">
      <formula>AND($J48="Deferred",K48&lt;&gt;"")</formula>
    </cfRule>
    <cfRule type="expression" priority="228" dxfId="5">
      <formula>AND($J48="Contingency",K48&lt;&gt;"")</formula>
    </cfRule>
  </conditionalFormatting>
  <conditionalFormatting sqref="K49:DD49">
    <cfRule type="expression" priority="229" dxfId="0">
      <formula>AND($J49="Not Started",K49&lt;&gt;"")</formula>
    </cfRule>
    <cfRule type="expression" priority="230" dxfId="1">
      <formula>AND($J49="In Progress",K49&lt;&gt;"")</formula>
    </cfRule>
    <cfRule type="expression" priority="231" dxfId="2">
      <formula>AND($J49="Done",K49&lt;&gt;"")</formula>
    </cfRule>
    <cfRule type="expression" priority="232" dxfId="3">
      <formula>AND($J49="Blocked",K49&lt;&gt;"")</formula>
    </cfRule>
    <cfRule type="expression" priority="233" dxfId="4">
      <formula>AND($J49="Deferred",K49&lt;&gt;"")</formula>
    </cfRule>
    <cfRule type="expression" priority="234" dxfId="5">
      <formula>AND($J49="Contingency",K49&lt;&gt;"")</formula>
    </cfRule>
  </conditionalFormatting>
  <conditionalFormatting sqref="K50:DD50">
    <cfRule type="expression" priority="235" dxfId="0">
      <formula>AND($J50="Not Started",K50&lt;&gt;"")</formula>
    </cfRule>
    <cfRule type="expression" priority="236" dxfId="1">
      <formula>AND($J50="In Progress",K50&lt;&gt;"")</formula>
    </cfRule>
    <cfRule type="expression" priority="237" dxfId="2">
      <formula>AND($J50="Done",K50&lt;&gt;"")</formula>
    </cfRule>
    <cfRule type="expression" priority="238" dxfId="3">
      <formula>AND($J50="Blocked",K50&lt;&gt;"")</formula>
    </cfRule>
    <cfRule type="expression" priority="239" dxfId="4">
      <formula>AND($J50="Deferred",K50&lt;&gt;"")</formula>
    </cfRule>
    <cfRule type="expression" priority="240" dxfId="5">
      <formula>AND($J50="Contingency",K50&lt;&gt;"")</formula>
    </cfRule>
  </conditionalFormatting>
  <conditionalFormatting sqref="K51:DD51">
    <cfRule type="expression" priority="241" dxfId="0">
      <formula>AND($J51="Not Started",K51&lt;&gt;"")</formula>
    </cfRule>
    <cfRule type="expression" priority="242" dxfId="1">
      <formula>AND($J51="In Progress",K51&lt;&gt;"")</formula>
    </cfRule>
    <cfRule type="expression" priority="243" dxfId="2">
      <formula>AND($J51="Done",K51&lt;&gt;"")</formula>
    </cfRule>
    <cfRule type="expression" priority="244" dxfId="3">
      <formula>AND($J51="Blocked",K51&lt;&gt;"")</formula>
    </cfRule>
    <cfRule type="expression" priority="245" dxfId="4">
      <formula>AND($J51="Deferred",K51&lt;&gt;"")</formula>
    </cfRule>
    <cfRule type="expression" priority="246" dxfId="5">
      <formula>AND($J51="Contingency",K51&lt;&gt;"")</formula>
    </cfRule>
  </conditionalFormatting>
  <conditionalFormatting sqref="K52:DD52">
    <cfRule type="expression" priority="247" dxfId="0">
      <formula>AND($J52="Not Started",K52&lt;&gt;"")</formula>
    </cfRule>
    <cfRule type="expression" priority="248" dxfId="1">
      <formula>AND($J52="In Progress",K52&lt;&gt;"")</formula>
    </cfRule>
    <cfRule type="expression" priority="249" dxfId="2">
      <formula>AND($J52="Done",K52&lt;&gt;"")</formula>
    </cfRule>
    <cfRule type="expression" priority="250" dxfId="3">
      <formula>AND($J52="Blocked",K52&lt;&gt;"")</formula>
    </cfRule>
    <cfRule type="expression" priority="251" dxfId="4">
      <formula>AND($J52="Deferred",K52&lt;&gt;"")</formula>
    </cfRule>
    <cfRule type="expression" priority="252" dxfId="5">
      <formula>AND($J52="Contingency",K52&lt;&gt;"")</formula>
    </cfRule>
  </conditionalFormatting>
  <conditionalFormatting sqref="K53:DD53">
    <cfRule type="expression" priority="253" dxfId="0">
      <formula>AND($J53="Not Started",K53&lt;&gt;"")</formula>
    </cfRule>
    <cfRule type="expression" priority="254" dxfId="1">
      <formula>AND($J53="In Progress",K53&lt;&gt;"")</formula>
    </cfRule>
    <cfRule type="expression" priority="255" dxfId="2">
      <formula>AND($J53="Done",K53&lt;&gt;"")</formula>
    </cfRule>
    <cfRule type="expression" priority="256" dxfId="3">
      <formula>AND($J53="Blocked",K53&lt;&gt;"")</formula>
    </cfRule>
    <cfRule type="expression" priority="257" dxfId="4">
      <formula>AND($J53="Deferred",K53&lt;&gt;"")</formula>
    </cfRule>
    <cfRule type="expression" priority="258" dxfId="5">
      <formula>AND($J53="Contingency",K53&lt;&gt;"")</formula>
    </cfRule>
  </conditionalFormatting>
  <conditionalFormatting sqref="K54:DD54">
    <cfRule type="expression" priority="259" dxfId="0">
      <formula>AND($J54="Not Started",K54&lt;&gt;"")</formula>
    </cfRule>
    <cfRule type="expression" priority="260" dxfId="1">
      <formula>AND($J54="In Progress",K54&lt;&gt;"")</formula>
    </cfRule>
    <cfRule type="expression" priority="261" dxfId="2">
      <formula>AND($J54="Done",K54&lt;&gt;"")</formula>
    </cfRule>
    <cfRule type="expression" priority="262" dxfId="3">
      <formula>AND($J54="Blocked",K54&lt;&gt;"")</formula>
    </cfRule>
    <cfRule type="expression" priority="263" dxfId="4">
      <formula>AND($J54="Deferred",K54&lt;&gt;"")</formula>
    </cfRule>
    <cfRule type="expression" priority="264" dxfId="5">
      <formula>AND($J54="Contingency",K54&lt;&gt;"")</formula>
    </cfRule>
  </conditionalFormatting>
  <conditionalFormatting sqref="K55:DD55">
    <cfRule type="expression" priority="265" dxfId="0">
      <formula>AND($J55="Not Started",K55&lt;&gt;"")</formula>
    </cfRule>
    <cfRule type="expression" priority="266" dxfId="1">
      <formula>AND($J55="In Progress",K55&lt;&gt;"")</formula>
    </cfRule>
    <cfRule type="expression" priority="267" dxfId="2">
      <formula>AND($J55="Done",K55&lt;&gt;"")</formula>
    </cfRule>
    <cfRule type="expression" priority="268" dxfId="3">
      <formula>AND($J55="Blocked",K55&lt;&gt;"")</formula>
    </cfRule>
    <cfRule type="expression" priority="269" dxfId="4">
      <formula>AND($J55="Deferred",K55&lt;&gt;"")</formula>
    </cfRule>
    <cfRule type="expression" priority="270" dxfId="5">
      <formula>AND($J55="Contingency",K55&lt;&gt;"")</formula>
    </cfRule>
  </conditionalFormatting>
  <conditionalFormatting sqref="K56:DD56">
    <cfRule type="expression" priority="271" dxfId="0">
      <formula>AND($J56="Not Started",K56&lt;&gt;"")</formula>
    </cfRule>
    <cfRule type="expression" priority="272" dxfId="1">
      <formula>AND($J56="In Progress",K56&lt;&gt;"")</formula>
    </cfRule>
    <cfRule type="expression" priority="273" dxfId="2">
      <formula>AND($J56="Done",K56&lt;&gt;"")</formula>
    </cfRule>
    <cfRule type="expression" priority="274" dxfId="3">
      <formula>AND($J56="Blocked",K56&lt;&gt;"")</formula>
    </cfRule>
    <cfRule type="expression" priority="275" dxfId="4">
      <formula>AND($J56="Deferred",K56&lt;&gt;"")</formula>
    </cfRule>
    <cfRule type="expression" priority="276" dxfId="5">
      <formula>AND($J56="Contingency",K56&lt;&gt;"")</formula>
    </cfRule>
  </conditionalFormatting>
  <conditionalFormatting sqref="K57:DD57">
    <cfRule type="expression" priority="277" dxfId="0">
      <formula>AND($J57="Not Started",K57&lt;&gt;"")</formula>
    </cfRule>
    <cfRule type="expression" priority="278" dxfId="1">
      <formula>AND($J57="In Progress",K57&lt;&gt;"")</formula>
    </cfRule>
    <cfRule type="expression" priority="279" dxfId="2">
      <formula>AND($J57="Done",K57&lt;&gt;"")</formula>
    </cfRule>
    <cfRule type="expression" priority="280" dxfId="3">
      <formula>AND($J57="Blocked",K57&lt;&gt;"")</formula>
    </cfRule>
    <cfRule type="expression" priority="281" dxfId="4">
      <formula>AND($J57="Deferred",K57&lt;&gt;"")</formula>
    </cfRule>
    <cfRule type="expression" priority="282" dxfId="5">
      <formula>AND($J57="Contingency",K57&lt;&gt;"")</formula>
    </cfRule>
  </conditionalFormatting>
  <conditionalFormatting sqref="K58:DD58">
    <cfRule type="expression" priority="283" dxfId="0">
      <formula>AND($J58="Not Started",K58&lt;&gt;"")</formula>
    </cfRule>
    <cfRule type="expression" priority="284" dxfId="1">
      <formula>AND($J58="In Progress",K58&lt;&gt;"")</formula>
    </cfRule>
    <cfRule type="expression" priority="285" dxfId="2">
      <formula>AND($J58="Done",K58&lt;&gt;"")</formula>
    </cfRule>
    <cfRule type="expression" priority="286" dxfId="3">
      <formula>AND($J58="Blocked",K58&lt;&gt;"")</formula>
    </cfRule>
    <cfRule type="expression" priority="287" dxfId="4">
      <formula>AND($J58="Deferred",K58&lt;&gt;"")</formula>
    </cfRule>
    <cfRule type="expression" priority="288" dxfId="5">
      <formula>AND($J58="Contingency",K58&lt;&gt;"")</formula>
    </cfRule>
  </conditionalFormatting>
  <conditionalFormatting sqref="K59:DD59">
    <cfRule type="expression" priority="289" dxfId="0">
      <formula>AND($J59="Not Started",K59&lt;&gt;"")</formula>
    </cfRule>
    <cfRule type="expression" priority="290" dxfId="1">
      <formula>AND($J59="In Progress",K59&lt;&gt;"")</formula>
    </cfRule>
    <cfRule type="expression" priority="291" dxfId="2">
      <formula>AND($J59="Done",K59&lt;&gt;"")</formula>
    </cfRule>
    <cfRule type="expression" priority="292" dxfId="3">
      <formula>AND($J59="Blocked",K59&lt;&gt;"")</formula>
    </cfRule>
    <cfRule type="expression" priority="293" dxfId="4">
      <formula>AND($J59="Deferred",K59&lt;&gt;"")</formula>
    </cfRule>
    <cfRule type="expression" priority="294" dxfId="5">
      <formula>AND($J59="Contingency",K59&lt;&gt;"")</formula>
    </cfRule>
  </conditionalFormatting>
  <conditionalFormatting sqref="K60:DD60">
    <cfRule type="expression" priority="295" dxfId="0">
      <formula>AND($J60="Not Started",K60&lt;&gt;"")</formula>
    </cfRule>
    <cfRule type="expression" priority="296" dxfId="1">
      <formula>AND($J60="In Progress",K60&lt;&gt;"")</formula>
    </cfRule>
    <cfRule type="expression" priority="297" dxfId="2">
      <formula>AND($J60="Done",K60&lt;&gt;"")</formula>
    </cfRule>
    <cfRule type="expression" priority="298" dxfId="3">
      <formula>AND($J60="Blocked",K60&lt;&gt;"")</formula>
    </cfRule>
    <cfRule type="expression" priority="299" dxfId="4">
      <formula>AND($J60="Deferred",K60&lt;&gt;"")</formula>
    </cfRule>
    <cfRule type="expression" priority="300" dxfId="5">
      <formula>AND($J60="Contingency",K60&lt;&gt;"")</formula>
    </cfRule>
  </conditionalFormatting>
  <conditionalFormatting sqref="K61:DD61">
    <cfRule type="expression" priority="301" dxfId="0">
      <formula>AND($J61="Not Started",K61&lt;&gt;"")</formula>
    </cfRule>
    <cfRule type="expression" priority="302" dxfId="1">
      <formula>AND($J61="In Progress",K61&lt;&gt;"")</formula>
    </cfRule>
    <cfRule type="expression" priority="303" dxfId="2">
      <formula>AND($J61="Done",K61&lt;&gt;"")</formula>
    </cfRule>
    <cfRule type="expression" priority="304" dxfId="3">
      <formula>AND($J61="Blocked",K61&lt;&gt;"")</formula>
    </cfRule>
    <cfRule type="expression" priority="305" dxfId="4">
      <formula>AND($J61="Deferred",K61&lt;&gt;"")</formula>
    </cfRule>
    <cfRule type="expression" priority="306" dxfId="5">
      <formula>AND($J61="Contingency",K61&lt;&gt;"")</formula>
    </cfRule>
  </conditionalFormatting>
  <conditionalFormatting sqref="K62:DD62">
    <cfRule type="expression" priority="307" dxfId="0">
      <formula>AND($J62="Not Started",K62&lt;&gt;"")</formula>
    </cfRule>
    <cfRule type="expression" priority="308" dxfId="1">
      <formula>AND($J62="In Progress",K62&lt;&gt;"")</formula>
    </cfRule>
    <cfRule type="expression" priority="309" dxfId="2">
      <formula>AND($J62="Done",K62&lt;&gt;"")</formula>
    </cfRule>
    <cfRule type="expression" priority="310" dxfId="3">
      <formula>AND($J62="Blocked",K62&lt;&gt;"")</formula>
    </cfRule>
    <cfRule type="expression" priority="311" dxfId="4">
      <formula>AND($J62="Deferred",K62&lt;&gt;"")</formula>
    </cfRule>
    <cfRule type="expression" priority="312" dxfId="5">
      <formula>AND($J62="Contingency",K62&lt;&gt;"")</formula>
    </cfRule>
  </conditionalFormatting>
  <conditionalFormatting sqref="K63:DD63">
    <cfRule type="expression" priority="313" dxfId="0">
      <formula>AND($J63="Not Started",K63&lt;&gt;"")</formula>
    </cfRule>
    <cfRule type="expression" priority="314" dxfId="1">
      <formula>AND($J63="In Progress",K63&lt;&gt;"")</formula>
    </cfRule>
    <cfRule type="expression" priority="315" dxfId="2">
      <formula>AND($J63="Done",K63&lt;&gt;"")</formula>
    </cfRule>
    <cfRule type="expression" priority="316" dxfId="3">
      <formula>AND($J63="Blocked",K63&lt;&gt;"")</formula>
    </cfRule>
    <cfRule type="expression" priority="317" dxfId="4">
      <formula>AND($J63="Deferred",K63&lt;&gt;"")</formula>
    </cfRule>
    <cfRule type="expression" priority="318" dxfId="5">
      <formula>AND($J63="Contingency",K63&lt;&gt;"")</formula>
    </cfRule>
  </conditionalFormatting>
  <conditionalFormatting sqref="K64:DD64">
    <cfRule type="expression" priority="319" dxfId="0">
      <formula>AND($J64="Not Started",K64&lt;&gt;"")</formula>
    </cfRule>
    <cfRule type="expression" priority="320" dxfId="1">
      <formula>AND($J64="In Progress",K64&lt;&gt;"")</formula>
    </cfRule>
    <cfRule type="expression" priority="321" dxfId="2">
      <formula>AND($J64="Done",K64&lt;&gt;"")</formula>
    </cfRule>
    <cfRule type="expression" priority="322" dxfId="3">
      <formula>AND($J64="Blocked",K64&lt;&gt;"")</formula>
    </cfRule>
    <cfRule type="expression" priority="323" dxfId="4">
      <formula>AND($J64="Deferred",K64&lt;&gt;"")</formula>
    </cfRule>
    <cfRule type="expression" priority="324" dxfId="5">
      <formula>AND($J64="Contingency",K64&lt;&gt;"")</formula>
    </cfRule>
  </conditionalFormatting>
  <conditionalFormatting sqref="K65:DD65">
    <cfRule type="expression" priority="325" dxfId="0">
      <formula>AND($J65="Not Started",K65&lt;&gt;"")</formula>
    </cfRule>
    <cfRule type="expression" priority="326" dxfId="1">
      <formula>AND($J65="In Progress",K65&lt;&gt;"")</formula>
    </cfRule>
    <cfRule type="expression" priority="327" dxfId="2">
      <formula>AND($J65="Done",K65&lt;&gt;"")</formula>
    </cfRule>
    <cfRule type="expression" priority="328" dxfId="3">
      <formula>AND($J65="Blocked",K65&lt;&gt;"")</formula>
    </cfRule>
    <cfRule type="expression" priority="329" dxfId="4">
      <formula>AND($J65="Deferred",K65&lt;&gt;"")</formula>
    </cfRule>
    <cfRule type="expression" priority="330" dxfId="5">
      <formula>AND($J65="Contingency",K65&lt;&gt;"")</formula>
    </cfRule>
  </conditionalFormatting>
  <conditionalFormatting sqref="K66:DD66">
    <cfRule type="expression" priority="331" dxfId="0">
      <formula>AND($J66="Not Started",K66&lt;&gt;"")</formula>
    </cfRule>
    <cfRule type="expression" priority="332" dxfId="1">
      <formula>AND($J66="In Progress",K66&lt;&gt;"")</formula>
    </cfRule>
    <cfRule type="expression" priority="333" dxfId="2">
      <formula>AND($J66="Done",K66&lt;&gt;"")</formula>
    </cfRule>
    <cfRule type="expression" priority="334" dxfId="3">
      <formula>AND($J66="Blocked",K66&lt;&gt;"")</formula>
    </cfRule>
    <cfRule type="expression" priority="335" dxfId="4">
      <formula>AND($J66="Deferred",K66&lt;&gt;"")</formula>
    </cfRule>
    <cfRule type="expression" priority="336" dxfId="5">
      <formula>AND($J66="Contingency",K66&lt;&gt;"")</formula>
    </cfRule>
  </conditionalFormatting>
  <conditionalFormatting sqref="K67:DD67">
    <cfRule type="expression" priority="337" dxfId="0">
      <formula>AND($J67="Not Started",K67&lt;&gt;"")</formula>
    </cfRule>
    <cfRule type="expression" priority="338" dxfId="1">
      <formula>AND($J67="In Progress",K67&lt;&gt;"")</formula>
    </cfRule>
    <cfRule type="expression" priority="339" dxfId="2">
      <formula>AND($J67="Done",K67&lt;&gt;"")</formula>
    </cfRule>
    <cfRule type="expression" priority="340" dxfId="3">
      <formula>AND($J67="Blocked",K67&lt;&gt;"")</formula>
    </cfRule>
    <cfRule type="expression" priority="341" dxfId="4">
      <formula>AND($J67="Deferred",K67&lt;&gt;"")</formula>
    </cfRule>
    <cfRule type="expression" priority="342" dxfId="5">
      <formula>AND($J67="Contingency",K67&lt;&gt;"")</formula>
    </cfRule>
  </conditionalFormatting>
  <conditionalFormatting sqref="K68:DD68">
    <cfRule type="expression" priority="343" dxfId="0">
      <formula>AND($J68="Not Started",K68&lt;&gt;"")</formula>
    </cfRule>
    <cfRule type="expression" priority="344" dxfId="1">
      <formula>AND($J68="In Progress",K68&lt;&gt;"")</formula>
    </cfRule>
    <cfRule type="expression" priority="345" dxfId="2">
      <formula>AND($J68="Done",K68&lt;&gt;"")</formula>
    </cfRule>
    <cfRule type="expression" priority="346" dxfId="3">
      <formula>AND($J68="Blocked",K68&lt;&gt;"")</formula>
    </cfRule>
    <cfRule type="expression" priority="347" dxfId="4">
      <formula>AND($J68="Deferred",K68&lt;&gt;"")</formula>
    </cfRule>
    <cfRule type="expression" priority="348" dxfId="5">
      <formula>AND($J68="Contingency",K68&lt;&gt;"")</formula>
    </cfRule>
  </conditionalFormatting>
  <conditionalFormatting sqref="K69:DD69">
    <cfRule type="expression" priority="349" dxfId="0">
      <formula>AND($J69="Not Started",K69&lt;&gt;"")</formula>
    </cfRule>
    <cfRule type="expression" priority="350" dxfId="1">
      <formula>AND($J69="In Progress",K69&lt;&gt;"")</formula>
    </cfRule>
    <cfRule type="expression" priority="351" dxfId="2">
      <formula>AND($J69="Done",K69&lt;&gt;"")</formula>
    </cfRule>
    <cfRule type="expression" priority="352" dxfId="3">
      <formula>AND($J69="Blocked",K69&lt;&gt;"")</formula>
    </cfRule>
    <cfRule type="expression" priority="353" dxfId="4">
      <formula>AND($J69="Deferred",K69&lt;&gt;"")</formula>
    </cfRule>
    <cfRule type="expression" priority="354" dxfId="5">
      <formula>AND($J69="Contingency",K69&lt;&gt;"")</formula>
    </cfRule>
  </conditionalFormatting>
  <conditionalFormatting sqref="K70:DD70">
    <cfRule type="expression" priority="355" dxfId="0">
      <formula>AND($J70="Not Started",K70&lt;&gt;"")</formula>
    </cfRule>
    <cfRule type="expression" priority="356" dxfId="1">
      <formula>AND($J70="In Progress",K70&lt;&gt;"")</formula>
    </cfRule>
    <cfRule type="expression" priority="357" dxfId="2">
      <formula>AND($J70="Done",K70&lt;&gt;"")</formula>
    </cfRule>
    <cfRule type="expression" priority="358" dxfId="3">
      <formula>AND($J70="Blocked",K70&lt;&gt;"")</formula>
    </cfRule>
    <cfRule type="expression" priority="359" dxfId="4">
      <formula>AND($J70="Deferred",K70&lt;&gt;"")</formula>
    </cfRule>
    <cfRule type="expression" priority="360" dxfId="5">
      <formula>AND($J70="Contingency",K70&lt;&gt;"")</formula>
    </cfRule>
  </conditionalFormatting>
  <conditionalFormatting sqref="K71:DD71">
    <cfRule type="expression" priority="361" dxfId="0">
      <formula>AND($J71="Not Started",K71&lt;&gt;"")</formula>
    </cfRule>
    <cfRule type="expression" priority="362" dxfId="1">
      <formula>AND($J71="In Progress",K71&lt;&gt;"")</formula>
    </cfRule>
    <cfRule type="expression" priority="363" dxfId="2">
      <formula>AND($J71="Done",K71&lt;&gt;"")</formula>
    </cfRule>
    <cfRule type="expression" priority="364" dxfId="3">
      <formula>AND($J71="Blocked",K71&lt;&gt;"")</formula>
    </cfRule>
    <cfRule type="expression" priority="365" dxfId="4">
      <formula>AND($J71="Deferred",K71&lt;&gt;"")</formula>
    </cfRule>
    <cfRule type="expression" priority="366" dxfId="5">
      <formula>AND($J71="Contingency",K71&lt;&gt;"")</formula>
    </cfRule>
  </conditionalFormatting>
  <conditionalFormatting sqref="K72:DD72">
    <cfRule type="expression" priority="367" dxfId="0">
      <formula>AND($J72="Not Started",K72&lt;&gt;"")</formula>
    </cfRule>
    <cfRule type="expression" priority="368" dxfId="1">
      <formula>AND($J72="In Progress",K72&lt;&gt;"")</formula>
    </cfRule>
    <cfRule type="expression" priority="369" dxfId="2">
      <formula>AND($J72="Done",K72&lt;&gt;"")</formula>
    </cfRule>
    <cfRule type="expression" priority="370" dxfId="3">
      <formula>AND($J72="Blocked",K72&lt;&gt;"")</formula>
    </cfRule>
    <cfRule type="expression" priority="371" dxfId="4">
      <formula>AND($J72="Deferred",K72&lt;&gt;"")</formula>
    </cfRule>
    <cfRule type="expression" priority="372" dxfId="5">
      <formula>AND($J72="Contingency",K72&lt;&gt;"")</formula>
    </cfRule>
  </conditionalFormatting>
  <conditionalFormatting sqref="K73:DD73">
    <cfRule type="expression" priority="373" dxfId="0">
      <formula>AND($J73="Not Started",K73&lt;&gt;"")</formula>
    </cfRule>
    <cfRule type="expression" priority="374" dxfId="1">
      <formula>AND($J73="In Progress",K73&lt;&gt;"")</formula>
    </cfRule>
    <cfRule type="expression" priority="375" dxfId="2">
      <formula>AND($J73="Done",K73&lt;&gt;"")</formula>
    </cfRule>
    <cfRule type="expression" priority="376" dxfId="3">
      <formula>AND($J73="Blocked",K73&lt;&gt;"")</formula>
    </cfRule>
    <cfRule type="expression" priority="377" dxfId="4">
      <formula>AND($J73="Deferred",K73&lt;&gt;"")</formula>
    </cfRule>
    <cfRule type="expression" priority="378" dxfId="5">
      <formula>AND($J73="Contingency",K73&lt;&gt;"")</formula>
    </cfRule>
  </conditionalFormatting>
  <conditionalFormatting sqref="K74:DD74">
    <cfRule type="expression" priority="379" dxfId="0">
      <formula>AND($J74="Not Started",K74&lt;&gt;"")</formula>
    </cfRule>
    <cfRule type="expression" priority="380" dxfId="1">
      <formula>AND($J74="In Progress",K74&lt;&gt;"")</formula>
    </cfRule>
    <cfRule type="expression" priority="381" dxfId="2">
      <formula>AND($J74="Done",K74&lt;&gt;"")</formula>
    </cfRule>
    <cfRule type="expression" priority="382" dxfId="3">
      <formula>AND($J74="Blocked",K74&lt;&gt;"")</formula>
    </cfRule>
    <cfRule type="expression" priority="383" dxfId="4">
      <formula>AND($J74="Deferred",K74&lt;&gt;"")</formula>
    </cfRule>
    <cfRule type="expression" priority="384" dxfId="5">
      <formula>AND($J74="Contingency",K74&lt;&gt;"")</formula>
    </cfRule>
  </conditionalFormatting>
  <conditionalFormatting sqref="K75:DD75">
    <cfRule type="expression" priority="385" dxfId="0">
      <formula>AND($J75="Not Started",K75&lt;&gt;"")</formula>
    </cfRule>
    <cfRule type="expression" priority="386" dxfId="1">
      <formula>AND($J75="In Progress",K75&lt;&gt;"")</formula>
    </cfRule>
    <cfRule type="expression" priority="387" dxfId="2">
      <formula>AND($J75="Done",K75&lt;&gt;"")</formula>
    </cfRule>
    <cfRule type="expression" priority="388" dxfId="3">
      <formula>AND($J75="Blocked",K75&lt;&gt;"")</formula>
    </cfRule>
    <cfRule type="expression" priority="389" dxfId="4">
      <formula>AND($J75="Deferred",K75&lt;&gt;"")</formula>
    </cfRule>
    <cfRule type="expression" priority="390" dxfId="5">
      <formula>AND($J75="Contingency",K75&lt;&gt;"")</formula>
    </cfRule>
  </conditionalFormatting>
  <conditionalFormatting sqref="K76:DD76">
    <cfRule type="expression" priority="391" dxfId="0">
      <formula>AND($J76="Not Started",K76&lt;&gt;"")</formula>
    </cfRule>
    <cfRule type="expression" priority="392" dxfId="1">
      <formula>AND($J76="In Progress",K76&lt;&gt;"")</formula>
    </cfRule>
    <cfRule type="expression" priority="393" dxfId="2">
      <formula>AND($J76="Done",K76&lt;&gt;"")</formula>
    </cfRule>
    <cfRule type="expression" priority="394" dxfId="3">
      <formula>AND($J76="Blocked",K76&lt;&gt;"")</formula>
    </cfRule>
    <cfRule type="expression" priority="395" dxfId="4">
      <formula>AND($J76="Deferred",K76&lt;&gt;"")</formula>
    </cfRule>
    <cfRule type="expression" priority="396" dxfId="5">
      <formula>AND($J76="Contingency",K76&lt;&gt;"")</formula>
    </cfRule>
  </conditionalFormatting>
  <conditionalFormatting sqref="K77:DD77">
    <cfRule type="expression" priority="397" dxfId="0">
      <formula>AND($J77="Not Started",K77&lt;&gt;"")</formula>
    </cfRule>
    <cfRule type="expression" priority="398" dxfId="1">
      <formula>AND($J77="In Progress",K77&lt;&gt;"")</formula>
    </cfRule>
    <cfRule type="expression" priority="399" dxfId="2">
      <formula>AND($J77="Done",K77&lt;&gt;"")</formula>
    </cfRule>
    <cfRule type="expression" priority="400" dxfId="3">
      <formula>AND($J77="Blocked",K77&lt;&gt;"")</formula>
    </cfRule>
    <cfRule type="expression" priority="401" dxfId="4">
      <formula>AND($J77="Deferred",K77&lt;&gt;"")</formula>
    </cfRule>
    <cfRule type="expression" priority="402" dxfId="5">
      <formula>AND($J77="Contingency",K77&lt;&gt;"")</formula>
    </cfRule>
  </conditionalFormatting>
  <conditionalFormatting sqref="K78:DD78">
    <cfRule type="expression" priority="403" dxfId="0">
      <formula>AND($J78="Not Started",K78&lt;&gt;"")</formula>
    </cfRule>
    <cfRule type="expression" priority="404" dxfId="1">
      <formula>AND($J78="In Progress",K78&lt;&gt;"")</formula>
    </cfRule>
    <cfRule type="expression" priority="405" dxfId="2">
      <formula>AND($J78="Done",K78&lt;&gt;"")</formula>
    </cfRule>
    <cfRule type="expression" priority="406" dxfId="3">
      <formula>AND($J78="Blocked",K78&lt;&gt;"")</formula>
    </cfRule>
    <cfRule type="expression" priority="407" dxfId="4">
      <formula>AND($J78="Deferred",K78&lt;&gt;"")</formula>
    </cfRule>
    <cfRule type="expression" priority="408" dxfId="5">
      <formula>AND($J78="Contingency",K78&lt;&gt;"")</formula>
    </cfRule>
  </conditionalFormatting>
  <conditionalFormatting sqref="K79:DD79">
    <cfRule type="expression" priority="409" dxfId="0">
      <formula>AND($J79="Not Started",K79&lt;&gt;"")</formula>
    </cfRule>
    <cfRule type="expression" priority="410" dxfId="1">
      <formula>AND($J79="In Progress",K79&lt;&gt;"")</formula>
    </cfRule>
    <cfRule type="expression" priority="411" dxfId="2">
      <formula>AND($J79="Done",K79&lt;&gt;"")</formula>
    </cfRule>
    <cfRule type="expression" priority="412" dxfId="3">
      <formula>AND($J79="Blocked",K79&lt;&gt;"")</formula>
    </cfRule>
    <cfRule type="expression" priority="413" dxfId="4">
      <formula>AND($J79="Deferred",K79&lt;&gt;"")</formula>
    </cfRule>
    <cfRule type="expression" priority="414" dxfId="5">
      <formula>AND($J79="Contingency",K79&lt;&gt;"")</formula>
    </cfRule>
  </conditionalFormatting>
  <conditionalFormatting sqref="K80:DD80">
    <cfRule type="expression" priority="415" dxfId="0">
      <formula>AND($J80="Not Started",K80&lt;&gt;"")</formula>
    </cfRule>
    <cfRule type="expression" priority="416" dxfId="1">
      <formula>AND($J80="In Progress",K80&lt;&gt;"")</formula>
    </cfRule>
    <cfRule type="expression" priority="417" dxfId="2">
      <formula>AND($J80="Done",K80&lt;&gt;"")</formula>
    </cfRule>
    <cfRule type="expression" priority="418" dxfId="3">
      <formula>AND($J80="Blocked",K80&lt;&gt;"")</formula>
    </cfRule>
    <cfRule type="expression" priority="419" dxfId="4">
      <formula>AND($J80="Deferred",K80&lt;&gt;"")</formula>
    </cfRule>
    <cfRule type="expression" priority="420" dxfId="5">
      <formula>AND($J80="Contingency",K80&lt;&gt;"")</formula>
    </cfRule>
  </conditionalFormatting>
  <conditionalFormatting sqref="K81:DD81">
    <cfRule type="expression" priority="421" dxfId="0">
      <formula>AND($J81="Not Started",K81&lt;&gt;"")</formula>
    </cfRule>
    <cfRule type="expression" priority="422" dxfId="1">
      <formula>AND($J81="In Progress",K81&lt;&gt;"")</formula>
    </cfRule>
    <cfRule type="expression" priority="423" dxfId="2">
      <formula>AND($J81="Done",K81&lt;&gt;"")</formula>
    </cfRule>
    <cfRule type="expression" priority="424" dxfId="3">
      <formula>AND($J81="Blocked",K81&lt;&gt;"")</formula>
    </cfRule>
    <cfRule type="expression" priority="425" dxfId="4">
      <formula>AND($J81="Deferred",K81&lt;&gt;"")</formula>
    </cfRule>
    <cfRule type="expression" priority="426" dxfId="5">
      <formula>AND($J81="Contingency",K81&lt;&gt;"")</formula>
    </cfRule>
  </conditionalFormatting>
  <conditionalFormatting sqref="K82:DD82">
    <cfRule type="expression" priority="427" dxfId="0">
      <formula>AND($J82="Not Started",K82&lt;&gt;"")</formula>
    </cfRule>
    <cfRule type="expression" priority="428" dxfId="1">
      <formula>AND($J82="In Progress",K82&lt;&gt;"")</formula>
    </cfRule>
    <cfRule type="expression" priority="429" dxfId="2">
      <formula>AND($J82="Done",K82&lt;&gt;"")</formula>
    </cfRule>
    <cfRule type="expression" priority="430" dxfId="3">
      <formula>AND($J82="Blocked",K82&lt;&gt;"")</formula>
    </cfRule>
    <cfRule type="expression" priority="431" dxfId="4">
      <formula>AND($J82="Deferred",K82&lt;&gt;"")</formula>
    </cfRule>
    <cfRule type="expression" priority="432" dxfId="5">
      <formula>AND($J82="Contingency",K82&lt;&gt;"")</formula>
    </cfRule>
  </conditionalFormatting>
  <conditionalFormatting sqref="K83:DD83">
    <cfRule type="expression" priority="433" dxfId="0">
      <formula>AND($J83="Not Started",K83&lt;&gt;"")</formula>
    </cfRule>
    <cfRule type="expression" priority="434" dxfId="1">
      <formula>AND($J83="In Progress",K83&lt;&gt;"")</formula>
    </cfRule>
    <cfRule type="expression" priority="435" dxfId="2">
      <formula>AND($J83="Done",K83&lt;&gt;"")</formula>
    </cfRule>
    <cfRule type="expression" priority="436" dxfId="3">
      <formula>AND($J83="Blocked",K83&lt;&gt;"")</formula>
    </cfRule>
    <cfRule type="expression" priority="437" dxfId="4">
      <formula>AND($J83="Deferred",K83&lt;&gt;"")</formula>
    </cfRule>
    <cfRule type="expression" priority="438" dxfId="5">
      <formula>AND($J83="Contingency",K83&lt;&gt;"")</formula>
    </cfRule>
  </conditionalFormatting>
  <conditionalFormatting sqref="K84:DD84">
    <cfRule type="expression" priority="439" dxfId="0">
      <formula>AND($J84="Not Started",K84&lt;&gt;"")</formula>
    </cfRule>
    <cfRule type="expression" priority="440" dxfId="1">
      <formula>AND($J84="In Progress",K84&lt;&gt;"")</formula>
    </cfRule>
    <cfRule type="expression" priority="441" dxfId="2">
      <formula>AND($J84="Done",K84&lt;&gt;"")</formula>
    </cfRule>
    <cfRule type="expression" priority="442" dxfId="3">
      <formula>AND($J84="Blocked",K84&lt;&gt;"")</formula>
    </cfRule>
    <cfRule type="expression" priority="443" dxfId="4">
      <formula>AND($J84="Deferred",K84&lt;&gt;"")</formula>
    </cfRule>
    <cfRule type="expression" priority="444" dxfId="5">
      <formula>AND($J84="Contingency",K84&lt;&gt;"")</formula>
    </cfRule>
  </conditionalFormatting>
  <conditionalFormatting sqref="K85:DD85">
    <cfRule type="expression" priority="445" dxfId="0">
      <formula>AND($J85="Not Started",K85&lt;&gt;"")</formula>
    </cfRule>
    <cfRule type="expression" priority="446" dxfId="1">
      <formula>AND($J85="In Progress",K85&lt;&gt;"")</formula>
    </cfRule>
    <cfRule type="expression" priority="447" dxfId="2">
      <formula>AND($J85="Done",K85&lt;&gt;"")</formula>
    </cfRule>
    <cfRule type="expression" priority="448" dxfId="3">
      <formula>AND($J85="Blocked",K85&lt;&gt;"")</formula>
    </cfRule>
    <cfRule type="expression" priority="449" dxfId="4">
      <formula>AND($J85="Deferred",K85&lt;&gt;"")</formula>
    </cfRule>
    <cfRule type="expression" priority="450" dxfId="5">
      <formula>AND($J85="Contingency",K85&lt;&gt;"")</formula>
    </cfRule>
  </conditionalFormatting>
  <conditionalFormatting sqref="K86:DD86">
    <cfRule type="expression" priority="451" dxfId="0">
      <formula>AND($J86="Not Started",K86&lt;&gt;"")</formula>
    </cfRule>
    <cfRule type="expression" priority="452" dxfId="1">
      <formula>AND($J86="In Progress",K86&lt;&gt;"")</formula>
    </cfRule>
    <cfRule type="expression" priority="453" dxfId="2">
      <formula>AND($J86="Done",K86&lt;&gt;"")</formula>
    </cfRule>
    <cfRule type="expression" priority="454" dxfId="3">
      <formula>AND($J86="Blocked",K86&lt;&gt;"")</formula>
    </cfRule>
    <cfRule type="expression" priority="455" dxfId="4">
      <formula>AND($J86="Deferred",K86&lt;&gt;"")</formula>
    </cfRule>
    <cfRule type="expression" priority="456" dxfId="5">
      <formula>AND($J86="Contingency",K86&lt;&gt;"")</formula>
    </cfRule>
  </conditionalFormatting>
  <conditionalFormatting sqref="K87:DD87">
    <cfRule type="expression" priority="457" dxfId="0">
      <formula>AND($J87="Not Started",K87&lt;&gt;"")</formula>
    </cfRule>
    <cfRule type="expression" priority="458" dxfId="1">
      <formula>AND($J87="In Progress",K87&lt;&gt;"")</formula>
    </cfRule>
    <cfRule type="expression" priority="459" dxfId="2">
      <formula>AND($J87="Done",K87&lt;&gt;"")</formula>
    </cfRule>
    <cfRule type="expression" priority="460" dxfId="3">
      <formula>AND($J87="Blocked",K87&lt;&gt;"")</formula>
    </cfRule>
    <cfRule type="expression" priority="461" dxfId="4">
      <formula>AND($J87="Deferred",K87&lt;&gt;"")</formula>
    </cfRule>
    <cfRule type="expression" priority="462" dxfId="5">
      <formula>AND($J87="Contingency",K87&lt;&gt;"")</formula>
    </cfRule>
  </conditionalFormatting>
  <conditionalFormatting sqref="K88:DD88">
    <cfRule type="expression" priority="463" dxfId="0">
      <formula>AND($J88="Not Started",K88&lt;&gt;"")</formula>
    </cfRule>
    <cfRule type="expression" priority="464" dxfId="1">
      <formula>AND($J88="In Progress",K88&lt;&gt;"")</formula>
    </cfRule>
    <cfRule type="expression" priority="465" dxfId="2">
      <formula>AND($J88="Done",K88&lt;&gt;"")</formula>
    </cfRule>
    <cfRule type="expression" priority="466" dxfId="3">
      <formula>AND($J88="Blocked",K88&lt;&gt;"")</formula>
    </cfRule>
    <cfRule type="expression" priority="467" dxfId="4">
      <formula>AND($J88="Deferred",K88&lt;&gt;"")</formula>
    </cfRule>
    <cfRule type="expression" priority="468" dxfId="5">
      <formula>AND($J88="Contingency",K88&lt;&gt;"")</formula>
    </cfRule>
  </conditionalFormatting>
  <conditionalFormatting sqref="K89:DD89">
    <cfRule type="expression" priority="469" dxfId="0">
      <formula>AND($J89="Not Started",K89&lt;&gt;"")</formula>
    </cfRule>
    <cfRule type="expression" priority="470" dxfId="1">
      <formula>AND($J89="In Progress",K89&lt;&gt;"")</formula>
    </cfRule>
    <cfRule type="expression" priority="471" dxfId="2">
      <formula>AND($J89="Done",K89&lt;&gt;"")</formula>
    </cfRule>
    <cfRule type="expression" priority="472" dxfId="3">
      <formula>AND($J89="Blocked",K89&lt;&gt;"")</formula>
    </cfRule>
    <cfRule type="expression" priority="473" dxfId="4">
      <formula>AND($J89="Deferred",K89&lt;&gt;"")</formula>
    </cfRule>
    <cfRule type="expression" priority="474" dxfId="5">
      <formula>AND($J89="Contingency",K89&lt;&gt;"")</formula>
    </cfRule>
  </conditionalFormatting>
  <conditionalFormatting sqref="K90:DD90">
    <cfRule type="expression" priority="475" dxfId="0">
      <formula>AND($J90="Not Started",K90&lt;&gt;"")</formula>
    </cfRule>
    <cfRule type="expression" priority="476" dxfId="1">
      <formula>AND($J90="In Progress",K90&lt;&gt;"")</formula>
    </cfRule>
    <cfRule type="expression" priority="477" dxfId="2">
      <formula>AND($J90="Done",K90&lt;&gt;"")</formula>
    </cfRule>
    <cfRule type="expression" priority="478" dxfId="3">
      <formula>AND($J90="Blocked",K90&lt;&gt;"")</formula>
    </cfRule>
    <cfRule type="expression" priority="479" dxfId="4">
      <formula>AND($J90="Deferred",K90&lt;&gt;"")</formula>
    </cfRule>
    <cfRule type="expression" priority="480" dxfId="5">
      <formula>AND($J90="Contingency",K90&lt;&gt;"")</formula>
    </cfRule>
  </conditionalFormatting>
  <conditionalFormatting sqref="K91:DD91">
    <cfRule type="expression" priority="481" dxfId="0">
      <formula>AND($J91="Not Started",K91&lt;&gt;"")</formula>
    </cfRule>
    <cfRule type="expression" priority="482" dxfId="1">
      <formula>AND($J91="In Progress",K91&lt;&gt;"")</formula>
    </cfRule>
    <cfRule type="expression" priority="483" dxfId="2">
      <formula>AND($J91="Done",K91&lt;&gt;"")</formula>
    </cfRule>
    <cfRule type="expression" priority="484" dxfId="3">
      <formula>AND($J91="Blocked",K91&lt;&gt;"")</formula>
    </cfRule>
    <cfRule type="expression" priority="485" dxfId="4">
      <formula>AND($J91="Deferred",K91&lt;&gt;"")</formula>
    </cfRule>
    <cfRule type="expression" priority="486" dxfId="5">
      <formula>AND($J91="Contingency",K91&lt;&gt;"")</formula>
    </cfRule>
  </conditionalFormatting>
  <conditionalFormatting sqref="K92:DD92">
    <cfRule type="expression" priority="487" dxfId="0">
      <formula>AND($J92="Not Started",K92&lt;&gt;"")</formula>
    </cfRule>
    <cfRule type="expression" priority="488" dxfId="1">
      <formula>AND($J92="In Progress",K92&lt;&gt;"")</formula>
    </cfRule>
    <cfRule type="expression" priority="489" dxfId="2">
      <formula>AND($J92="Done",K92&lt;&gt;"")</formula>
    </cfRule>
    <cfRule type="expression" priority="490" dxfId="3">
      <formula>AND($J92="Blocked",K92&lt;&gt;"")</formula>
    </cfRule>
    <cfRule type="expression" priority="491" dxfId="4">
      <formula>AND($J92="Deferred",K92&lt;&gt;"")</formula>
    </cfRule>
    <cfRule type="expression" priority="492" dxfId="5">
      <formula>AND($J92="Contingency",K92&lt;&gt;"")</formula>
    </cfRule>
  </conditionalFormatting>
  <conditionalFormatting sqref="K93:DD93">
    <cfRule type="expression" priority="493" dxfId="0">
      <formula>AND($J93="Not Started",K93&lt;&gt;"")</formula>
    </cfRule>
    <cfRule type="expression" priority="494" dxfId="1">
      <formula>AND($J93="In Progress",K93&lt;&gt;"")</formula>
    </cfRule>
    <cfRule type="expression" priority="495" dxfId="2">
      <formula>AND($J93="Done",K93&lt;&gt;"")</formula>
    </cfRule>
    <cfRule type="expression" priority="496" dxfId="3">
      <formula>AND($J93="Blocked",K93&lt;&gt;"")</formula>
    </cfRule>
    <cfRule type="expression" priority="497" dxfId="4">
      <formula>AND($J93="Deferred",K93&lt;&gt;"")</formula>
    </cfRule>
    <cfRule type="expression" priority="498" dxfId="5">
      <formula>AND($J93="Contingency",K93&lt;&gt;"")</formula>
    </cfRule>
  </conditionalFormatting>
  <conditionalFormatting sqref="K94:DD94">
    <cfRule type="expression" priority="499" dxfId="0">
      <formula>AND($J94="Not Started",K94&lt;&gt;"")</formula>
    </cfRule>
    <cfRule type="expression" priority="500" dxfId="1">
      <formula>AND($J94="In Progress",K94&lt;&gt;"")</formula>
    </cfRule>
    <cfRule type="expression" priority="501" dxfId="2">
      <formula>AND($J94="Done",K94&lt;&gt;"")</formula>
    </cfRule>
    <cfRule type="expression" priority="502" dxfId="3">
      <formula>AND($J94="Blocked",K94&lt;&gt;"")</formula>
    </cfRule>
    <cfRule type="expression" priority="503" dxfId="4">
      <formula>AND($J94="Deferred",K94&lt;&gt;"")</formula>
    </cfRule>
    <cfRule type="expression" priority="504" dxfId="5">
      <formula>AND($J94="Contingency",K94&lt;&gt;"")</formula>
    </cfRule>
  </conditionalFormatting>
  <dataValidations count="75">
    <dataValidation sqref="J12" showErrorMessage="1" showInputMessage="1" allowBlank="1" type="list">
      <formula1>"Not Started,In Progress,Done,Blocked,Deferred,Contingency"</formula1>
    </dataValidation>
    <dataValidation sqref="J13" showErrorMessage="1" showInputMessage="1" allowBlank="1" type="list">
      <formula1>"Not Started,In Progress,Done,Blocked,Deferred,Contingency"</formula1>
    </dataValidation>
    <dataValidation sqref="J14" showErrorMessage="1" showInputMessage="1" allowBlank="1" type="list">
      <formula1>"Not Started,In Progress,Done,Blocked,Deferred,Contingency"</formula1>
    </dataValidation>
    <dataValidation sqref="J15" showErrorMessage="1" showInputMessage="1" allowBlank="1" type="list">
      <formula1>"Not Started,In Progress,Done,Blocked,Deferred,Contingency"</formula1>
    </dataValidation>
    <dataValidation sqref="J16" showErrorMessage="1" showInputMessage="1" allowBlank="1" type="list">
      <formula1>"Not Started,In Progress,Done,Blocked,Deferred,Contingency"</formula1>
    </dataValidation>
    <dataValidation sqref="J17" showErrorMessage="1" showInputMessage="1" allowBlank="1" type="list">
      <formula1>"Not Started,In Progress,Done,Blocked,Deferred,Contingency"</formula1>
    </dataValidation>
    <dataValidation sqref="J19" showErrorMessage="1" showInputMessage="1" allowBlank="1" type="list">
      <formula1>"Not Started,In Progress,Done,Blocked,Deferred,Contingency"</formula1>
    </dataValidation>
    <dataValidation sqref="J20" showErrorMessage="1" showInputMessage="1" allowBlank="1" type="list">
      <formula1>"Not Started,In Progress,Done,Blocked,Deferred,Contingency"</formula1>
    </dataValidation>
    <dataValidation sqref="J21" showErrorMessage="1" showInputMessage="1" allowBlank="1" type="list">
      <formula1>"Not Started,In Progress,Done,Blocked,Deferred,Contingency"</formula1>
    </dataValidation>
    <dataValidation sqref="J22" showErrorMessage="1" showInputMessage="1" allowBlank="1" type="list">
      <formula1>"Not Started,In Progress,Done,Blocked,Deferred,Contingency"</formula1>
    </dataValidation>
    <dataValidation sqref="J23" showErrorMessage="1" showInputMessage="1" allowBlank="1" type="list">
      <formula1>"Not Started,In Progress,Done,Blocked,Deferred,Contingency"</formula1>
    </dataValidation>
    <dataValidation sqref="J24" showErrorMessage="1" showInputMessage="1" allowBlank="1" type="list">
      <formula1>"Not Started,In Progress,Done,Blocked,Deferred,Contingency"</formula1>
    </dataValidation>
    <dataValidation sqref="J26" showErrorMessage="1" showInputMessage="1" allowBlank="1" type="list">
      <formula1>"Not Started,In Progress,Done,Blocked,Deferred,Contingency"</formula1>
    </dataValidation>
    <dataValidation sqref="J27" showErrorMessage="1" showInputMessage="1" allowBlank="1" type="list">
      <formula1>"Not Started,In Progress,Done,Blocked,Deferred,Contingency"</formula1>
    </dataValidation>
    <dataValidation sqref="J28" showErrorMessage="1" showInputMessage="1" allowBlank="1" type="list">
      <formula1>"Not Started,In Progress,Done,Blocked,Deferred,Contingency"</formula1>
    </dataValidation>
    <dataValidation sqref="J29" showErrorMessage="1" showInputMessage="1" allowBlank="1" type="list">
      <formula1>"Not Started,In Progress,Done,Blocked,Deferred,Contingency"</formula1>
    </dataValidation>
    <dataValidation sqref="J30" showErrorMessage="1" showInputMessage="1" allowBlank="1" type="list">
      <formula1>"Not Started,In Progress,Done,Blocked,Deferred,Contingency"</formula1>
    </dataValidation>
    <dataValidation sqref="J31" showErrorMessage="1" showInputMessage="1" allowBlank="1" type="list">
      <formula1>"Not Started,In Progress,Done,Blocked,Deferred,Contingency"</formula1>
    </dataValidation>
    <dataValidation sqref="J32" showErrorMessage="1" showInputMessage="1" allowBlank="1" type="list">
      <formula1>"Not Started,In Progress,Done,Blocked,Deferred,Contingency"</formula1>
    </dataValidation>
    <dataValidation sqref="J33" showErrorMessage="1" showInputMessage="1" allowBlank="1" type="list">
      <formula1>"Not Started,In Progress,Done,Blocked,Deferred,Contingency"</formula1>
    </dataValidation>
    <dataValidation sqref="J34" showErrorMessage="1" showInputMessage="1" allowBlank="1" type="list">
      <formula1>"Not Started,In Progress,Done,Blocked,Deferred,Contingency"</formula1>
    </dataValidation>
    <dataValidation sqref="J35" showErrorMessage="1" showInputMessage="1" allowBlank="1" type="list">
      <formula1>"Not Started,In Progress,Done,Blocked,Deferred,Contingency"</formula1>
    </dataValidation>
    <dataValidation sqref="J37" showErrorMessage="1" showInputMessage="1" allowBlank="1" type="list">
      <formula1>"Not Started,In Progress,Done,Blocked,Deferred,Contingency"</formula1>
    </dataValidation>
    <dataValidation sqref="J38" showErrorMessage="1" showInputMessage="1" allowBlank="1" type="list">
      <formula1>"Not Started,In Progress,Done,Blocked,Deferred,Contingency"</formula1>
    </dataValidation>
    <dataValidation sqref="J39" showErrorMessage="1" showInputMessage="1" allowBlank="1" type="list">
      <formula1>"Not Started,In Progress,Done,Blocked,Deferred,Contingency"</formula1>
    </dataValidation>
    <dataValidation sqref="J40" showErrorMessage="1" showInputMessage="1" allowBlank="1" type="list">
      <formula1>"Not Started,In Progress,Done,Blocked,Deferred,Contingency"</formula1>
    </dataValidation>
    <dataValidation sqref="J41" showErrorMessage="1" showInputMessage="1" allowBlank="1" type="list">
      <formula1>"Not Started,In Progress,Done,Blocked,Deferred,Contingency"</formula1>
    </dataValidation>
    <dataValidation sqref="J42" showErrorMessage="1" showInputMessage="1" allowBlank="1" type="list">
      <formula1>"Not Started,In Progress,Done,Blocked,Deferred,Contingency"</formula1>
    </dataValidation>
    <dataValidation sqref="J43" showErrorMessage="1" showInputMessage="1" allowBlank="1" type="list">
      <formula1>"Not Started,In Progress,Done,Blocked,Deferred,Contingency"</formula1>
    </dataValidation>
    <dataValidation sqref="J44" showErrorMessage="1" showInputMessage="1" allowBlank="1" type="list">
      <formula1>"Not Started,In Progress,Done,Blocked,Deferred,Contingency"</formula1>
    </dataValidation>
    <dataValidation sqref="J45" showErrorMessage="1" showInputMessage="1" allowBlank="1" type="list">
      <formula1>"Not Started,In Progress,Done,Blocked,Deferred,Contingency"</formula1>
    </dataValidation>
    <dataValidation sqref="J46" showErrorMessage="1" showInputMessage="1" allowBlank="1" type="list">
      <formula1>"Not Started,In Progress,Done,Blocked,Deferred,Contingency"</formula1>
    </dataValidation>
    <dataValidation sqref="J48" showErrorMessage="1" showInputMessage="1" allowBlank="1" type="list">
      <formula1>"Not Started,In Progress,Done,Blocked,Deferred,Contingency"</formula1>
    </dataValidation>
    <dataValidation sqref="J49" showErrorMessage="1" showInputMessage="1" allowBlank="1" type="list">
      <formula1>"Not Started,In Progress,Done,Blocked,Deferred,Contingency"</formula1>
    </dataValidation>
    <dataValidation sqref="J50" showErrorMessage="1" showInputMessage="1" allowBlank="1" type="list">
      <formula1>"Not Started,In Progress,Done,Blocked,Deferred,Contingency"</formula1>
    </dataValidation>
    <dataValidation sqref="J51" showErrorMessage="1" showInputMessage="1" allowBlank="1" type="list">
      <formula1>"Not Started,In Progress,Done,Blocked,Deferred,Contingency"</formula1>
    </dataValidation>
    <dataValidation sqref="J52" showErrorMessage="1" showInputMessage="1" allowBlank="1" type="list">
      <formula1>"Not Started,In Progress,Done,Blocked,Deferred,Contingency"</formula1>
    </dataValidation>
    <dataValidation sqref="J53" showErrorMessage="1" showInputMessage="1" allowBlank="1" type="list">
      <formula1>"Not Started,In Progress,Done,Blocked,Deferred,Contingency"</formula1>
    </dataValidation>
    <dataValidation sqref="J54" showErrorMessage="1" showInputMessage="1" allowBlank="1" type="list">
      <formula1>"Not Started,In Progress,Done,Blocked,Deferred,Contingency"</formula1>
    </dataValidation>
    <dataValidation sqref="J55" showErrorMessage="1" showInputMessage="1" allowBlank="1" type="list">
      <formula1>"Not Started,In Progress,Done,Blocked,Deferred,Contingency"</formula1>
    </dataValidation>
    <dataValidation sqref="J56" showErrorMessage="1" showInputMessage="1" allowBlank="1" type="list">
      <formula1>"Not Started,In Progress,Done,Blocked,Deferred,Contingency"</formula1>
    </dataValidation>
    <dataValidation sqref="J58" showErrorMessage="1" showInputMessage="1" allowBlank="1" type="list">
      <formula1>"Not Started,In Progress,Done,Blocked,Deferred,Contingency"</formula1>
    </dataValidation>
    <dataValidation sqref="J59" showErrorMessage="1" showInputMessage="1" allowBlank="1" type="list">
      <formula1>"Not Started,In Progress,Done,Blocked,Deferred,Contingency"</formula1>
    </dataValidation>
    <dataValidation sqref="J60" showErrorMessage="1" showInputMessage="1" allowBlank="1" type="list">
      <formula1>"Not Started,In Progress,Done,Blocked,Deferred,Contingency"</formula1>
    </dataValidation>
    <dataValidation sqref="J61" showErrorMessage="1" showInputMessage="1" allowBlank="1" type="list">
      <formula1>"Not Started,In Progress,Done,Blocked,Deferred,Contingency"</formula1>
    </dataValidation>
    <dataValidation sqref="J62" showErrorMessage="1" showInputMessage="1" allowBlank="1" type="list">
      <formula1>"Not Started,In Progress,Done,Blocked,Deferred,Contingency"</formula1>
    </dataValidation>
    <dataValidation sqref="J63" showErrorMessage="1" showInputMessage="1" allowBlank="1" type="list">
      <formula1>"Not Started,In Progress,Done,Blocked,Deferred,Contingency"</formula1>
    </dataValidation>
    <dataValidation sqref="J65" showErrorMessage="1" showInputMessage="1" allowBlank="1" type="list">
      <formula1>"Not Started,In Progress,Done,Blocked,Deferred,Contingency"</formula1>
    </dataValidation>
    <dataValidation sqref="J66" showErrorMessage="1" showInputMessage="1" allowBlank="1" type="list">
      <formula1>"Not Started,In Progress,Done,Blocked,Deferred,Contingency"</formula1>
    </dataValidation>
    <dataValidation sqref="J67" showErrorMessage="1" showInputMessage="1" allowBlank="1" type="list">
      <formula1>"Not Started,In Progress,Done,Blocked,Deferred,Contingency"</formula1>
    </dataValidation>
    <dataValidation sqref="J68" showErrorMessage="1" showInputMessage="1" allowBlank="1" type="list">
      <formula1>"Not Started,In Progress,Done,Blocked,Deferred,Contingency"</formula1>
    </dataValidation>
    <dataValidation sqref="J69" showErrorMessage="1" showInputMessage="1" allowBlank="1" type="list">
      <formula1>"Not Started,In Progress,Done,Blocked,Deferred,Contingency"</formula1>
    </dataValidation>
    <dataValidation sqref="J70" showErrorMessage="1" showInputMessage="1" allowBlank="1" type="list">
      <formula1>"Not Started,In Progress,Done,Blocked,Deferred,Contingency"</formula1>
    </dataValidation>
    <dataValidation sqref="J71" showErrorMessage="1" showInputMessage="1" allowBlank="1" type="list">
      <formula1>"Not Started,In Progress,Done,Blocked,Deferred,Contingency"</formula1>
    </dataValidation>
    <dataValidation sqref="J72" showErrorMessage="1" showInputMessage="1" allowBlank="1" type="list">
      <formula1>"Not Started,In Progress,Done,Blocked,Deferred,Contingency"</formula1>
    </dataValidation>
    <dataValidation sqref="J73" showErrorMessage="1" showInputMessage="1" allowBlank="1" type="list">
      <formula1>"Not Started,In Progress,Done,Blocked,Deferred,Contingency"</formula1>
    </dataValidation>
    <dataValidation sqref="J74" showErrorMessage="1" showInputMessage="1" allowBlank="1" type="list">
      <formula1>"Not Started,In Progress,Done,Blocked,Deferred,Contingency"</formula1>
    </dataValidation>
    <dataValidation sqref="J75" showErrorMessage="1" showInputMessage="1" allowBlank="1" type="list">
      <formula1>"Not Started,In Progress,Done,Blocked,Deferred,Contingency"</formula1>
    </dataValidation>
    <dataValidation sqref="J77" showErrorMessage="1" showInputMessage="1" allowBlank="1" type="list">
      <formula1>"Not Started,In Progress,Done,Blocked,Deferred,Contingency"</formula1>
    </dataValidation>
    <dataValidation sqref="J78" showErrorMessage="1" showInputMessage="1" allowBlank="1" type="list">
      <formula1>"Not Started,In Progress,Done,Blocked,Deferred,Contingency"</formula1>
    </dataValidation>
    <dataValidation sqref="J79" showErrorMessage="1" showInputMessage="1" allowBlank="1" type="list">
      <formula1>"Not Started,In Progress,Done,Blocked,Deferred,Contingency"</formula1>
    </dataValidation>
    <dataValidation sqref="J80" showErrorMessage="1" showInputMessage="1" allowBlank="1" type="list">
      <formula1>"Not Started,In Progress,Done,Blocked,Deferred,Contingency"</formula1>
    </dataValidation>
    <dataValidation sqref="J81" showErrorMessage="1" showInputMessage="1" allowBlank="1" type="list">
      <formula1>"Not Started,In Progress,Done,Blocked,Deferred,Contingency"</formula1>
    </dataValidation>
    <dataValidation sqref="J82" showErrorMessage="1" showInputMessage="1" allowBlank="1" type="list">
      <formula1>"Not Started,In Progress,Done,Blocked,Deferred,Contingency"</formula1>
    </dataValidation>
    <dataValidation sqref="J83" showErrorMessage="1" showInputMessage="1" allowBlank="1" type="list">
      <formula1>"Not Started,In Progress,Done,Blocked,Deferred,Contingency"</formula1>
    </dataValidation>
    <dataValidation sqref="J85" showErrorMessage="1" showInputMessage="1" allowBlank="1" type="list">
      <formula1>"Not Started,In Progress,Done,Blocked,Deferred,Contingency"</formula1>
    </dataValidation>
    <dataValidation sqref="J86" showErrorMessage="1" showInputMessage="1" allowBlank="1" type="list">
      <formula1>"Not Started,In Progress,Done,Blocked,Deferred,Contingency"</formula1>
    </dataValidation>
    <dataValidation sqref="J87" showErrorMessage="1" showInputMessage="1" allowBlank="1" type="list">
      <formula1>"Not Started,In Progress,Done,Blocked,Deferred,Contingency"</formula1>
    </dataValidation>
    <dataValidation sqref="J88" showErrorMessage="1" showInputMessage="1" allowBlank="1" type="list">
      <formula1>"Not Started,In Progress,Done,Blocked,Deferred,Contingency"</formula1>
    </dataValidation>
    <dataValidation sqref="J89" showErrorMessage="1" showInputMessage="1" allowBlank="1" type="list">
      <formula1>"Not Started,In Progress,Done,Blocked,Deferred,Contingency"</formula1>
    </dataValidation>
    <dataValidation sqref="J90" showErrorMessage="1" showInputMessage="1" allowBlank="1" type="list">
      <formula1>"Not Started,In Progress,Done,Blocked,Deferred,Contingency"</formula1>
    </dataValidation>
    <dataValidation sqref="J91" showErrorMessage="1" showInputMessage="1" allowBlank="1" type="list">
      <formula1>"Not Started,In Progress,Done,Blocked,Deferred,Contingency"</formula1>
    </dataValidation>
    <dataValidation sqref="J92" showErrorMessage="1" showInputMessage="1" allowBlank="1" type="list">
      <formula1>"Not Started,In Progress,Done,Blocked,Deferred,Contingency"</formula1>
    </dataValidation>
    <dataValidation sqref="J93" showErrorMessage="1" showInputMessage="1" allowBlank="1" type="list">
      <formula1>"Not Started,In Progress,Done,Blocked,Deferred,Contingency"</formula1>
    </dataValidation>
    <dataValidation sqref="J94" showErrorMessage="1" showInputMessage="1" allowBlank="1" type="list">
      <formula1>"Not Started,In Progress,Done,Blocked,Deferred,Contingency"</formula1>
    </dataValidation>
  </dataValidations>
  <hyperlinks>
    <hyperlink ref="A3" location="'Cover Page'!A1" display="← Cover Page"/>
    <hyperlink ref="E12" location="'Task Details'!A5" display="Audit repo và lập danh mục yêu cầu"/>
    <hyperlink ref="E13" location="'Task Details'!A6" display="Thiết kế UX chatbot, phạm vi và luồng hội thoại"/>
    <hyperlink ref="E14" location="'Task Details'!A7" display="Khóa contract, dữ liệu, công nghệ và API"/>
    <hyperlink ref="E15" location="'Task Details'!A8" display="Thiết lập nền phát triển và thiết kế nghiệm thu"/>
    <hyperlink ref="E16" location="'Task Details'!A9" display="G0 — Review, nghiệm thu và báo cáo giai đoạn"/>
    <hyperlink ref="E17" location="'Task Details'!A10" display="Dự phòng sửa lỗi, tích hợp hoặc nghỉ theo lịch thực tế"/>
    <hyperlink ref="E19" location="'Task Details'!A11" display="Kiểm kê và tiếp nhận snapshot crawler"/>
    <hyperlink ref="E20" location="'Task Details'!A12" display="Làm sạch, chia đoạn và gắn provenance"/>
    <hyperlink ref="E21" location="'Task Details'!A13" display="Policy catalog, trạng thái duyệt và PII boundary"/>
    <hyperlink ref="E22" location="'Task Details'!A14" display="Tạo bộ đánh giá chatbot và privacy ban đầu"/>
    <hyperlink ref="E23" location="'Task Details'!A15" display="G1 — Review, nghiệm thu và báo cáo giai đoạn"/>
    <hyperlink ref="E24" location="'Task Details'!A16" display="Dự phòng sửa lỗi, tích hợp hoặc nghỉ theo lịch thực tế"/>
    <hyperlink ref="E26" location="'Task Details'!A17" display="Lập chỉ mục và retrieval có bộ lọc"/>
    <hyperlink ref="E27" location="'Task Details'!A18" display="Benchmark BM25, dense và hybrid RRF"/>
    <hyperlink ref="E28" location="'Task Details'!A19" display="Đánh giá reranker trên tập nhỏ"/>
    <hyperlink ref="E29" location="'Task Details'!A20" display="Sinh câu trả lời có nguồn và kiểm soát đầu ra"/>
    <hyperlink ref="E30" location="'Task Details'!A21" display="API chat, phiên và bộ nhớ nhiều lượt"/>
    <hyperlink ref="E31" location="'Task Details'!A22" display="Giao diện chatbot và nguồn tham khảo"/>
    <hyperlink ref="E32" location="'Task Details'!A23" display="Telemetry, đóng gói demo và xử lý dependency fail"/>
    <hyperlink ref="E33" location="'Task Details'!A24" display="Đánh giá chatbot end-to-end và sửa lỗi"/>
    <hyperlink ref="E34" location="'Task Details'!A25" display="G2 — Review, nghiệm thu và báo cáo giai đoạn"/>
    <hyperlink ref="E35" location="'Task Details'!A26" display="Dự phòng sửa lỗi, tích hợp hoặc nghỉ theo lịch thực tế"/>
    <hyperlink ref="E37" location="'Task Details'!A27" display="Mô hình đơn hàng, ticket, action và outcome"/>
    <hyperlink ref="E38" location="'Task Details'!A28" display="Tra cứu đơn hàng có xác thực và kiểm soát truy cập"/>
    <hyperlink ref="E39" location="'Task Details'!A29" display="Policy engine xác định quyền lợi bằng rule"/>
    <hyperlink ref="E40" location="'Task Details'!A30" display="FSM resolution, MCP tools và reflection hữu hạn"/>
    <hyperlink ref="E41" location="'Task Details'!A31" display="Agent Workspace: context, evidence và review"/>
    <hyperlink ref="E42" location="'Task Details'!A32" display="Lưu phản hồi cuối, outcome và business events"/>
    <hyperlink ref="E43" location="'Task Details'!A33" display="Đánh giá resolution và luồng hỗ trợ"/>
    <hyperlink ref="E44" location="'Task Details'!A34" display="Cô lập công cụ và lỗi thực thi"/>
    <hyperlink ref="E45" location="'Task Details'!A35" display="G3 — Review, nghiệm thu và báo cáo giai đoạn"/>
    <hyperlink ref="E46" location="'Task Details'!A36" display="Dự phòng sửa lỗi, tích hợp hoặc nghỉ theo lịch thực tế"/>
    <hyperlink ref="E48" location="'Task Details'!A37" display="Khóa taxonomy, splits và dataset provenance"/>
    <hyperlink ref="E49" location="'Task Details'!A38" display="ABSA baseline và evaluation harness"/>
    <hyperlink ref="E50" location="'Task Details'!A39" display="Huấn luyện candidate và evidence spans"/>
    <hyperlink ref="E51" location="'Task Details'!A40" display="Chốt model bằng benchmark và release floor"/>
    <hyperlink ref="E52" location="'Task Details'!A41" display="Ingestion, queue và batch phủ toàn corpus"/>
    <hyperlink ref="E53" location="'Task Details'!A42" display="Semantic router, rate limit và triage API"/>
    <hyperlink ref="E54" location="'Task Details'!A43" display="Tích hợp triage thật vào chatbot và workspace"/>
    <hyperlink ref="E55" location="'Task Details'!A44" display="G4 — Review, nghiệm thu và báo cáo giai đoạn"/>
    <hyperlink ref="E56" location="'Task Details'!A45" display="Dự phòng sửa lỗi, tích hợp hoặc nghỉ theo lịch thực tế"/>
    <hyperlink ref="E58" location="'Task Details'!A46" display="Metrics SQL, lineage và cảnh báo"/>
    <hyperlink ref="E59" location="'Task Details'!A47" display="Dashboard Analyst/PM và business outcomes"/>
    <hyperlink ref="E60" location="'Task Details'!A48" display="Drill-down có cohort, diversity và benchmark"/>
    <hyperlink ref="E61" location="'Task Details'!A49" display="Kiểm nghiệm dashboard và cảnh báo"/>
    <hyperlink ref="E62" location="'Task Details'!A50" display="G5 — Review, nghiệm thu và báo cáo giai đoạn"/>
    <hyperlink ref="E63" location="'Task Details'!A51" display="Dự phòng sửa lỗi, tích hợp hoặc nghỉ theo lịch thực tế"/>
    <hyperlink ref="E65" location="'Task Details'!A52" display="Thống nhất ontology, IDs và lifecycle"/>
    <hyperlink ref="E66" location="'Task Details'!A53" display="Seed và đồng bộ graph có provenance"/>
    <hyperlink ref="E67" location="'Task Details'!A54" display="Local GraphRAG và vector→entity→graph"/>
    <hyperlink ref="E68" location="'Task Details'!A55" display="Nối graph vào resolution và chatbot"/>
    <hyperlink ref="E69" location="'Task Details'!A56" display="Analyst investigation và issue lifecycle UI"/>
    <hyperlink ref="E70" location="'Task Details'!A57" display="Steward review, policy retirement và publish"/>
    <hyperlink ref="E71" location="'Task Details'!A58" display="Staleness, version propagation và rollback"/>
    <hyperlink ref="E72" location="'Task Details'!A59" display="Nghiệm thu vòng analyst→knowledge→chatbot"/>
    <hyperlink ref="E73" location="'Task Details'!A60" display="Đánh giá và ghi quyết định GraphRAG nâng cao"/>
    <hyperlink ref="E74" location="'Task Details'!A61" display="G6 — Review, nghiệm thu và báo cáo giai đoạn"/>
    <hyperlink ref="E75" location="'Task Details'!A62" display="Nghỉ dự kiến 01/01/2027 (trích quỹ dự phòng)"/>
    <hyperlink ref="E77" location="'Task Details'!A63" display="Chuẩn hóa toàn bộ feedback và export"/>
    <hyperlink ref="E78" location="'Task Details'!A64" display="Một vòng active learning và model promotion"/>
    <hyperlink ref="E79" location="'Task Details'!A65" display="Drift, quality và feedback monitoring"/>
    <hyperlink ref="E80" location="'Task Details'!A66" display="Retention, correction và deletion propagation"/>
    <hyperlink ref="E81" location="'Task Details'!A67" display="Regression learning loop và outcome efficacy"/>
    <hyperlink ref="E82" location="'Task Details'!A68" display="G7 — Review, nghiệm thu và báo cáo giai đoạn"/>
    <hyperlink ref="E83" location="'Task Details'!A69" display="Dự phòng sửa lỗi, tích hợp hoặc nghỉ theo lịch thực tế"/>
    <hyperlink ref="E85" location="'Task Details'!A70" display="CI, AI gates và artifact release bất biến"/>
    <hyperlink ref="E86" location="'Task Details'!A71" display="Hạ tầng và phân quyền deployment mục tiêu"/>
    <hyperlink ref="E87" location="'Task Details'!A72" display="Deploy demo và health/observability thật"/>
    <hyperlink ref="E88" location="'Task Details'!A73" display="Load, failure, latency và sizing"/>
    <hyperlink ref="E89" location="'Task Details'!A74" display="Privacy/access, backup và rollback drill"/>
    <hyperlink ref="E90" location="'Task Details'!A75" display="UAT 5 vai trò và full regression"/>
    <hyperlink ref="E91" location="'Task Details'!A76" display="Business KPI đối chiếu baseline"/>
    <hyperlink ref="E92" location="'Task Details'!A77" display="Tài liệu bàn giao và bộ demo tái lập"/>
    <hyperlink ref="E93" location="'Task Details'!A78" display="G8 — Review, nghiệm thu và báo cáo giai đoạn"/>
    <hyperlink ref="E94" location="'Task Details'!A79" display="Dự phòng sửa lỗi, tích hợp hoặc nghỉ theo lịch thực tế"/>
  </hyperlinks>
  <pageMargins left="0.7" right="0.7" top="0.75" bottom="0.75" header="0.3" footer="0.3"/>
  <pageSetup orientation="landscape" paperSize="8" fitToHeight="0"/>
  <headerFooter>
    <oddHeader/>
    <oddFooter>&amp;CSenticRAG | Kế hoạch triển khai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87E8B"/>
    <outlinePr summaryBelow="1" summaryRight="1"/>
    <pageSetUpPr fitToPage="1"/>
  </sheetPr>
  <dimension ref="A1:U79"/>
  <sheetViews>
    <sheetView showGridLines="0" zoomScale="85" zoomScaleNormal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.7109375" customWidth="1" min="1" max="1"/>
    <col width="12.7109375" customWidth="1" min="2" max="2"/>
    <col width="50.7109375" customWidth="1" min="3" max="3"/>
    <col width="14.7109375" customWidth="1" min="4" max="5"/>
    <col width="12.7109375" customWidth="1" min="6" max="7"/>
    <col width="23.7109375" customWidth="1" min="8" max="8"/>
    <col width="26.7109375" customWidth="1" min="9" max="9"/>
    <col width="55.7109375" customWidth="1" min="10" max="10"/>
    <col width="85.7109375" customWidth="1" min="11" max="11"/>
    <col width="65.7109375" customWidth="1" min="12" max="12"/>
    <col width="30.7109375" customWidth="1" min="13" max="13"/>
    <col width="52.7109375" customWidth="1" min="14" max="14"/>
    <col width="35.7109375" customWidth="1" min="15" max="15"/>
    <col width="25.7109375" customWidth="1" min="16" max="16"/>
    <col width="85.7109375" customWidth="1" min="17" max="17"/>
    <col width="38.7109375" customWidth="1" min="18" max="18"/>
    <col width="22.7109375" customWidth="1" min="19" max="20"/>
    <col width="55.7109375" customWidth="1" min="21" max="21"/>
  </cols>
  <sheetData>
    <row r="1" ht="36" customHeight="1">
      <c r="A1" s="7" t="inlineStr">
        <is>
          <t>TASK DETAILS | kế hoạch thực hiện và tiêu chí hoàn thành</t>
        </is>
      </c>
    </row>
    <row r="2" ht="36" customHeight="1">
      <c r="A2" s="8" t="inlineStr">
        <is>
          <t>Input/Output là contract/deliverable dự kiến. Evidence hiện chưa có; chỉ cập nhật Done khi đạt gate và lưu bằng chứng. Effort 0,5 ngày = 4 giờ theo giả định.</t>
        </is>
      </c>
    </row>
    <row r="3">
      <c r="A3" s="9" t="inlineStr">
        <is>
          <t>← Cover Page</t>
        </is>
      </c>
    </row>
    <row r="4" ht="33.75" customHeight="1">
      <c r="A4" s="26" t="inlineStr">
        <is>
          <t>Task ID</t>
        </is>
      </c>
      <c r="B4" s="26" t="inlineStr">
        <is>
          <t>Milestone</t>
        </is>
      </c>
      <c r="C4" s="26" t="inlineStr">
        <is>
          <t>Công việc</t>
        </is>
      </c>
      <c r="D4" s="26" t="inlineStr">
        <is>
          <t>Bắt đầu</t>
        </is>
      </c>
      <c r="E4" s="26" t="inlineStr">
        <is>
          <t>Kết thúc</t>
        </is>
      </c>
      <c r="F4" s="26" t="inlineStr">
        <is>
          <t>Buổi đầu</t>
        </is>
      </c>
      <c r="G4" s="26" t="inlineStr">
        <is>
          <t>Ngày công</t>
        </is>
      </c>
      <c r="H4" s="26" t="inlineStr">
        <is>
          <t>Người thực hiện</t>
        </is>
      </c>
      <c r="I4" s="26" t="inlineStr">
        <is>
          <t>Vai trò đang đảm nhiệm</t>
        </is>
      </c>
      <c r="J4" s="26" t="inlineStr">
        <is>
          <t>Input</t>
        </is>
      </c>
      <c r="K4" s="26" t="inlineStr">
        <is>
          <t>Các bước thực hiện</t>
        </is>
      </c>
      <c r="L4" s="26" t="inlineStr">
        <is>
          <t>Output / artifact</t>
        </is>
      </c>
      <c r="M4" s="26" t="inlineStr">
        <is>
          <t>Modules</t>
        </is>
      </c>
      <c r="N4" s="26" t="inlineStr">
        <is>
          <t>Công nghệ</t>
        </is>
      </c>
      <c r="O4" s="26" t="inlineStr">
        <is>
          <t>Dependency</t>
        </is>
      </c>
      <c r="P4" s="26" t="inlineStr">
        <is>
          <t>I/O contract</t>
        </is>
      </c>
      <c r="Q4" s="26" t="inlineStr">
        <is>
          <t>Definition of Done</t>
        </is>
      </c>
      <c r="R4" s="26" t="inlineStr">
        <is>
          <t>Nguồn yêu cầu</t>
        </is>
      </c>
      <c r="S4" s="26" t="inlineStr">
        <is>
          <t>Scope/type</t>
        </is>
      </c>
      <c r="T4" s="26" t="inlineStr">
        <is>
          <t>Task Status (từ WBS)</t>
        </is>
      </c>
      <c r="U4" s="26" t="inlineStr">
        <is>
          <t>Evidence thực tế</t>
        </is>
      </c>
    </row>
    <row r="5" ht="45.75" customHeight="1">
      <c r="A5" s="35" t="inlineStr">
        <is>
          <t>M0.1</t>
        </is>
      </c>
      <c r="B5" s="27" t="inlineStr">
        <is>
          <t>M0</t>
        </is>
      </c>
      <c r="C5" s="27" t="inlineStr">
        <is>
          <t>Audit repo và lập danh mục yêu cầu</t>
        </is>
      </c>
      <c r="D5" s="28" t="n">
        <v>46321</v>
      </c>
      <c r="E5" s="28" t="n">
        <v>46321</v>
      </c>
      <c r="F5" s="27" t="inlineStr">
        <is>
          <t>AM</t>
        </is>
      </c>
      <c r="G5" s="27" t="n">
        <v>0.5</v>
      </c>
      <c r="H5" s="27" t="inlineStr">
        <is>
          <t>Trần Đình Khương</t>
        </is>
      </c>
      <c r="I5" s="27" t="inlineStr">
        <is>
          <t>BA / kiến trúc</t>
        </is>
      </c>
      <c r="J5" s="27" t="inlineStr">
        <is>
          <t>Toàn bộ tài liệu hiện hữu và commit 9083135</t>
        </is>
      </c>
      <c r="K5" s="27" t="inlineStr">
        <is>
          <t>Phân biệt mock với chức năng thật; kiểm kê crawler, schemas, CI, API; lập ma trận yêu cầu và ghi các doc tham chiếu bị thiếu.</t>
        </is>
      </c>
      <c r="L5" s="27" t="inlineStr">
        <is>
          <t>Baseline inventory; Source Register; traceability IDs; danh sách mâu thuẫn</t>
        </is>
      </c>
      <c r="M5" s="27" t="inlineStr">
        <is>
          <t>MOD-12</t>
        </is>
      </c>
      <c r="N5" s="27" t="inlineStr">
        <is>
          <t>Git; Markdown; Python</t>
        </is>
      </c>
      <c r="O5" s="27" t="inlineStr">
        <is>
          <t>START</t>
        </is>
      </c>
      <c r="Q5" s="27" t="inlineStr">
        <is>
          <t>Không dùng số trả cứng trong API làm baseline; mỗi yêu cầu có nguồn và giai đoạn.</t>
        </is>
      </c>
      <c r="R5" s="27" t="inlineStr">
        <is>
          <t>SRC-01..SRC-10; SRC-16</t>
        </is>
      </c>
      <c r="S5" s="27" t="inlineStr">
        <is>
          <t>Core</t>
        </is>
      </c>
      <c r="T5" s="27">
        <f>'WBS'!J12</f>
        <v/>
      </c>
      <c r="U5" s="27" t="inlineStr">
        <is>
          <t>Chưa có — điền đường dẫn báo cáo/commit/demo sau khi thực hiện</t>
        </is>
      </c>
    </row>
    <row r="6" ht="148.52" customHeight="1">
      <c r="A6" s="36" t="inlineStr">
        <is>
          <t>M0.2</t>
        </is>
      </c>
      <c r="B6" s="29" t="inlineStr">
        <is>
          <t>M0</t>
        </is>
      </c>
      <c r="C6" s="29" t="inlineStr">
        <is>
          <t>Thiết kế UX chatbot, phạm vi và luồng hội thoại</t>
        </is>
      </c>
      <c r="D6" s="30" t="n">
        <v>46321</v>
      </c>
      <c r="E6" s="30" t="n">
        <v>46322</v>
      </c>
      <c r="F6" s="29" t="inlineStr">
        <is>
          <t>PM</t>
        </is>
      </c>
      <c r="G6" s="29" t="n">
        <v>1</v>
      </c>
      <c r="H6" s="29" t="inlineStr">
        <is>
          <t>Trần Đình Khương</t>
        </is>
      </c>
      <c r="I6" s="29" t="inlineStr">
        <is>
          <t>Product / UX</t>
        </is>
      </c>
      <c r="J6" s="29" t="inlineStr">
        <is>
          <t>US-BUY-01, US-AGENT-01, chính sách mẫu</t>
        </is>
      </c>
      <c r="K6" s="29" t="inlineStr">
        <is>
          <t>Thiết kế một apps/web với bốn khu vực Buyer Chat, Agent Copilot, Analyst BI &amp; GraphRAG, Steward Queue cho năm personas; dùng chung layout, session, API client và citation viewer. Vẽ chat, history, lỗi, chuyển CSKH và thông tin thiếu; tách policy Q&amp;A khỏi quyết định theo đơn hàng; route ẩn không thay kiểm quyền API.</t>
        </is>
      </c>
      <c r="L6" s="29" t="inlineStr">
        <is>
          <t>Wireframe + conversation flow + scope MVP chatbot tuần 4</t>
        </is>
      </c>
      <c r="M6" s="29" t="inlineStr">
        <is>
          <t>MOD-01, MOD-03</t>
        </is>
      </c>
      <c r="N6" s="29" t="inlineStr">
        <is>
          <t>React/TypeScript; design document</t>
        </is>
      </c>
      <c r="O6" s="29" t="inlineStr">
        <is>
          <t>M0.1</t>
        </is>
      </c>
      <c r="P6" s="29" t="inlineStr">
        <is>
          <t>IO-01, IO-02</t>
        </is>
      </c>
      <c r="Q6" s="29" t="inlineStr">
        <is>
          <t>MVP trả lời có nguồn và nhớ ngữ cảnh; eligibility cá nhân thuộc M3, root cause xác nhận thuộc M6.</t>
        </is>
      </c>
      <c r="R6" s="29" t="inlineStr">
        <is>
          <t>SRC-02 §3,5,7.9; SRC-03; SRC-04</t>
        </is>
      </c>
      <c r="S6" s="29" t="inlineStr">
        <is>
          <t>Core</t>
        </is>
      </c>
      <c r="T6" s="29">
        <f>'WBS'!J13</f>
        <v/>
      </c>
      <c r="U6" s="29" t="inlineStr">
        <is>
          <t>Chưa có — điền đường dẫn báo cáo/commit/demo sau khi thực hiện</t>
        </is>
      </c>
    </row>
    <row r="7" ht="300.8" customHeight="1">
      <c r="A7" s="35" t="inlineStr">
        <is>
          <t>M0.3</t>
        </is>
      </c>
      <c r="B7" s="27" t="inlineStr">
        <is>
          <t>M0</t>
        </is>
      </c>
      <c r="C7" s="27" t="inlineStr">
        <is>
          <t>Khóa contract, dữ liệu, công nghệ và API</t>
        </is>
      </c>
      <c r="D7" s="28" t="n">
        <v>46322</v>
      </c>
      <c r="E7" s="28" t="n">
        <v>46323</v>
      </c>
      <c r="F7" s="27" t="inlineStr">
        <is>
          <t>PM</t>
        </is>
      </c>
      <c r="G7" s="27" t="n">
        <v>1</v>
      </c>
      <c r="H7" s="27" t="inlineStr">
        <is>
          <t>Trần Đình Khương</t>
        </is>
      </c>
      <c r="I7" s="27" t="inlineStr">
        <is>
          <t>Backend / kiến trúc</t>
        </is>
      </c>
      <c r="J7" s="27" t="inlineStr">
        <is>
          <t>M0.1–M0.2; schemas hiện tại; Decisions</t>
        </is>
      </c>
      <c r="K7" s="27" t="inlineStr">
        <is>
          <t>Chọn LLM/embedding qua smoke tiếng Việt, ngân sách và khả năng truy cập; giữ API /api/v1; khóa ChatMessageRequest/Response (product_ref/order_ref optional), Citation phân loại nguồn và ABSA prediction có version ở cấp kết quả; chốt namespace, ID, policy version, memory, timeout. Ghi ADR DEC-15/16/17 cho PostgreSQL stack, apps/web và lựa chọn FSM/LangGraph; không làm hai orchestrator. Ghi source-of-truth theo SRC-02 §8.2: CRM/live orders, approved Policy Registry, versioned graph và prediction tables; Redis/Qdrant là cache/index. Khóa profile demo và architecture-target riêng (DEC-18), thời điểm đo latency và effort còn thiếu tại G0.</t>
        </is>
      </c>
      <c r="L7" s="27" t="inlineStr">
        <is>
          <t>ADR + schema/chat examples; OpenAPI dự kiến; bảng module; capability/provider matrix</t>
        </is>
      </c>
      <c r="M7" s="27" t="inlineStr">
        <is>
          <t>MOD-01, MOD-02, MOD-03, MOD-04, MOD-12</t>
        </is>
      </c>
      <c r="N7" s="27" t="inlineStr">
        <is>
          <t>Python 3.11/3.12; Poetry lock; FastAPI; Pydantic; PostgreSQL; Redis; Qdrant</t>
        </is>
      </c>
      <c r="O7" s="27" t="inlineStr">
        <is>
          <t>M0.2</t>
        </is>
      </c>
      <c r="P7" s="27" t="inlineStr">
        <is>
          <t>IO-01..IO-05; IO-08; IO-10</t>
        </is>
      </c>
      <c r="Q7" s="27" t="inlineStr">
        <is>
          <t>Có chính sách session ownership, context limit, không đưa raw PII ra LLM; cloud/GPU thiếu phải ghi tác động.</t>
        </is>
      </c>
      <c r="R7" s="27" t="inlineStr">
        <is>
          <t>SRC-02 §5,8,9; SRC-06; SRC-07; SRC-16</t>
        </is>
      </c>
      <c r="S7" s="27" t="inlineStr">
        <is>
          <t>Core</t>
        </is>
      </c>
      <c r="T7" s="27">
        <f>'WBS'!J14</f>
        <v/>
      </c>
      <c r="U7" s="27" t="inlineStr">
        <is>
          <t>Chưa có — điền đường dẫn báo cáo/commit/demo sau khi thực hiện</t>
        </is>
      </c>
    </row>
    <row r="8" ht="155.57" customHeight="1">
      <c r="A8" s="36" t="inlineStr">
        <is>
          <t>M0.4</t>
        </is>
      </c>
      <c r="B8" s="29" t="inlineStr">
        <is>
          <t>M0</t>
        </is>
      </c>
      <c r="C8" s="29" t="inlineStr">
        <is>
          <t>Thiết lập nền phát triển và thiết kế nghiệm thu</t>
        </is>
      </c>
      <c r="D8" s="30" t="n">
        <v>46323</v>
      </c>
      <c r="E8" s="30" t="n">
        <v>46324</v>
      </c>
      <c r="F8" s="29" t="inlineStr">
        <is>
          <t>PM</t>
        </is>
      </c>
      <c r="G8" s="29" t="n">
        <v>1</v>
      </c>
      <c r="H8" s="29" t="inlineStr">
        <is>
          <t>Trần Đình Khương</t>
        </is>
      </c>
      <c r="I8" s="29" t="inlineStr">
        <is>
          <t>Full-stack / QA</t>
        </is>
      </c>
      <c r="J8" s="29" t="inlineStr">
        <is>
          <t>ADR, wireframe, 5 stories và fixture nhỏ</t>
        </is>
      </c>
      <c r="K8" s="29" t="inlineStr">
        <is>
          <t>Tạo shell apps/web dùng chung và conversation API; khai báo/lock SQLAlchemy 2.x, psycopg[binary] 3.x, Alembic cho Python 3.11/3.12; tạo migration/schema ban đầu và transaction boundary; cấu hình môi trường, test scaffold, rubric eval, business baseline; chuẩn bị login/session boundary.</t>
        </is>
      </c>
      <c r="L8" s="29" t="inlineStr">
        <is>
          <t>Khung ứng dụng có smoke; test plan và rubric; baseline measurement protocol</t>
        </is>
      </c>
      <c r="M8" s="29" t="inlineStr">
        <is>
          <t>MOD-01, MOD-03, MOD-12</t>
        </is>
      </c>
      <c r="N8" s="29" t="inlineStr">
        <is>
          <t>FastAPI; PostgreSQL migrations; React/TypeScript; pytest; Docker Compose; GitHub Actions</t>
        </is>
      </c>
      <c r="O8" s="29" t="inlineStr">
        <is>
          <t>M0.3</t>
        </is>
      </c>
      <c r="P8" s="29" t="inlineStr">
        <is>
          <t>IO-01, IO-15</t>
        </is>
      </c>
      <c r="Q8" s="29" t="inlineStr">
        <is>
          <t>Health thật phản ánh dependency; cấu hình không chứa secret; cài từ lockfile và kết nối PostgreSQL thật; migration từ DB rỗng và upgrade từ revision trước pass trên DB thử nghiệm, rollback/restore được mô tả; có kế hoạch 5 kịch bản E2E và negative paths; contract test cho policy Q&amp;A không có product và citation sai nguồn/version.</t>
        </is>
      </c>
      <c r="R8" s="29" t="inlineStr">
        <is>
          <t>SRC-02 §15–17,21; SRC-04; SRC-16</t>
        </is>
      </c>
      <c r="S8" s="29" t="inlineStr">
        <is>
          <t>Core</t>
        </is>
      </c>
      <c r="T8" s="29">
        <f>'WBS'!J15</f>
        <v/>
      </c>
      <c r="U8" s="29" t="inlineStr">
        <is>
          <t>Chưa có — điền đường dẫn báo cáo/commit/demo sau khi thực hiện</t>
        </is>
      </c>
    </row>
    <row r="9" ht="109.98" customHeight="1">
      <c r="A9" s="35" t="inlineStr">
        <is>
          <t>M0.G</t>
        </is>
      </c>
      <c r="B9" s="27" t="inlineStr">
        <is>
          <t>M0</t>
        </is>
      </c>
      <c r="C9" s="27" t="inlineStr">
        <is>
          <t>G0 — Review, nghiệm thu và báo cáo giai đoạn</t>
        </is>
      </c>
      <c r="D9" s="28" t="n">
        <v>46324</v>
      </c>
      <c r="E9" s="28" t="n">
        <v>46324</v>
      </c>
      <c r="F9" s="27" t="inlineStr">
        <is>
          <t>PM</t>
        </is>
      </c>
      <c r="G9" s="27" t="n">
        <v>0.5</v>
      </c>
      <c r="H9" s="27" t="inlineStr">
        <is>
          <t>Trần Đình Khương</t>
        </is>
      </c>
      <c r="I9" s="27" t="inlineStr">
        <is>
          <t>QA / quản lý dự án</t>
        </is>
      </c>
      <c r="J9" s="27" t="inlineStr">
        <is>
          <t>Các đầu ra và test/eval của M0</t>
        </is>
      </c>
      <c r="K9" s="27" t="inlineStr">
        <is>
          <t>Chạy lại kịch bản nghiệm thu; đối chiếu yêu cầu; ghi PASS/FAIL/BLOCKED, số đo thực và kế hoạch sửa. Tự kiểm tra theo checklist; stakeholder xác nhận nếu có.</t>
        </is>
      </c>
      <c r="L9" s="27" t="inlineStr">
        <is>
          <t>docs/reports/milestones/m0-review.md; checklist; demo; manifest phiên bản</t>
        </is>
      </c>
      <c r="M9" s="27" t="inlineStr">
        <is>
          <t>MOD-12</t>
        </is>
      </c>
      <c r="N9" s="27" t="inlineStr">
        <is>
          <t>pytest; eval reports; Git</t>
        </is>
      </c>
      <c r="O9" s="27" t="inlineStr">
        <is>
          <t>M0.4</t>
        </is>
      </c>
      <c r="Q9" s="27" t="inlineStr">
        <is>
          <t>G0: khóa I/O, ADR, profile demo/architecture-target và ngưỡng eval; rà lại effort M0.4/M3.4/M4.5/M6.7/M8.2 theo smoke thực. Lịch 14 tuần là baseline, chưa chứng minh feasibility; thiếu resource/effort phải ghi blocker hoặc rebaseline.</t>
        </is>
      </c>
      <c r="R9" s="27" t="inlineStr">
        <is>
          <t>SRC-02 §21; SRC-03; SRC-04</t>
        </is>
      </c>
      <c r="S9" s="27" t="inlineStr">
        <is>
          <t>Gate</t>
        </is>
      </c>
      <c r="T9" s="27">
        <f>'WBS'!J16</f>
        <v/>
      </c>
      <c r="U9" s="27" t="inlineStr">
        <is>
          <t>Chưa có — điền đường dẫn báo cáo/commit/demo sau khi thực hiện</t>
        </is>
      </c>
    </row>
    <row r="10" ht="45.75" customHeight="1">
      <c r="A10" s="36" t="inlineStr">
        <is>
          <t>M0.B</t>
        </is>
      </c>
      <c r="B10" s="29" t="inlineStr">
        <is>
          <t>M0</t>
        </is>
      </c>
      <c r="C10" s="29" t="inlineStr">
        <is>
          <t>Dự phòng sửa lỗi, tích hợp hoặc nghỉ theo lịch thực tế</t>
        </is>
      </c>
      <c r="D10" s="30" t="n">
        <v>46325</v>
      </c>
      <c r="E10" s="30" t="n">
        <v>46325</v>
      </c>
      <c r="F10" s="29" t="inlineStr">
        <is>
          <t>AM</t>
        </is>
      </c>
      <c r="G10" s="29" t="n">
        <v>1</v>
      </c>
      <c r="H10" s="29" t="inlineStr">
        <is>
          <t>Trần Đình Khương</t>
        </is>
      </c>
      <c r="I10" s="29" t="inlineStr">
        <is>
          <t>Dự phòng</t>
        </is>
      </c>
      <c r="J10" s="29" t="inlineStr">
        <is>
          <t>Blocker/failed gate hoặc ngày nghỉ đã xác nhận</t>
        </is>
      </c>
      <c r="K10" s="29" t="inlineStr">
        <is>
          <t>Ưu tiên sửa gate của giai đoạn; nếu chưa dùng thì giữ quỹ dự phòng. Không tự bổ sung tính năng.</t>
        </is>
      </c>
      <c r="L10" s="29" t="inlineStr">
        <is>
          <t>Gate được kiểm tra lại; nhật ký sử dụng dự phòng và lịch cập nhật</t>
        </is>
      </c>
      <c r="M10" s="29" t="inlineStr">
        <is>
          <t>MOD-12</t>
        </is>
      </c>
      <c r="N10" s="29" t="inlineStr">
        <is>
          <t>Issue log; regression tests</t>
        </is>
      </c>
      <c r="O10" s="29" t="inlineStr">
        <is>
          <t>RESERVE — không phải quan hệ finish-to-start</t>
        </is>
      </c>
      <c r="Q10" s="29" t="inlineStr">
        <is>
          <t>Không vượt ngày kết thúc giai đoạn; nếu vượt phải rebaseline, không đánh dấu Done khi gate fail.</t>
        </is>
      </c>
      <c r="R10" s="29" t="inlineStr">
        <is>
          <t>DEC-01; DEC-02</t>
        </is>
      </c>
      <c r="S10" s="29" t="inlineStr">
        <is>
          <t>Buffer</t>
        </is>
      </c>
      <c r="T10" s="29">
        <f>'WBS'!J17</f>
        <v/>
      </c>
      <c r="U10" s="29" t="inlineStr">
        <is>
          <t>Chưa có — điền đường dẫn báo cáo/commit/demo sau khi thực hiện</t>
        </is>
      </c>
    </row>
    <row r="11" ht="62.25" customHeight="1">
      <c r="A11" s="35" t="inlineStr">
        <is>
          <t>M1.1</t>
        </is>
      </c>
      <c r="B11" s="27" t="inlineStr">
        <is>
          <t>M1</t>
        </is>
      </c>
      <c r="C11" s="27" t="inlineStr">
        <is>
          <t>Kiểm kê và tiếp nhận snapshot crawler</t>
        </is>
      </c>
      <c r="D11" s="28" t="n">
        <v>46328</v>
      </c>
      <c r="E11" s="28" t="n">
        <v>46328</v>
      </c>
      <c r="F11" s="27" t="inlineStr">
        <is>
          <t>AM</t>
        </is>
      </c>
      <c r="G11" s="27" t="n">
        <v>0.5</v>
      </c>
      <c r="H11" s="27" t="inlineStr">
        <is>
          <t>Trần Đình Khương</t>
        </is>
      </c>
      <c r="I11" s="27" t="inlineStr">
        <is>
          <t>Data engineering</t>
        </is>
      </c>
      <c r="J11" s="27" t="inlineStr">
        <is>
          <t>Các snapshot và báo cáo crawl đã có</t>
        </is>
      </c>
      <c r="K11" s="27" t="inlineStr">
        <is>
          <t>Đọc export qua adapter/file manifest; xác minh 52/56 là số ghi nhận lịch sử; chọn subset policy; kiểm tra lỗi/redirect/quyền sử dụng; giữ crawler độc lập.</t>
        </is>
      </c>
      <c r="L11" s="27" t="inlineStr">
        <is>
          <t>source_inventory.csv; raw manifest có URL, hash, crawl time, status</t>
        </is>
      </c>
      <c r="M11" s="27" t="inlineStr">
        <is>
          <t>MOD-02</t>
        </is>
      </c>
      <c r="N11" s="27" t="inlineStr">
        <is>
          <t>Python; JSON; SHA-256</t>
        </is>
      </c>
      <c r="O11" s="27" t="inlineStr">
        <is>
          <t>M0.G</t>
        </is>
      </c>
      <c r="P11" s="27" t="inlineStr">
        <is>
          <t>IO-03</t>
        </is>
      </c>
      <c r="Q11" s="27" t="inlineStr">
        <is>
          <t>Không coi crawl thành công là đủ nội dung; không crawl lại toàn bộ nếu snapshot dùng được.</t>
        </is>
      </c>
      <c r="R11" s="27" t="inlineStr">
        <is>
          <t>SRC-10; SRC-11; SRC-12; SRC-13</t>
        </is>
      </c>
      <c r="S11" s="27" t="inlineStr">
        <is>
          <t>Core</t>
        </is>
      </c>
      <c r="T11" s="27">
        <f>'WBS'!J19</f>
        <v/>
      </c>
      <c r="U11" s="27" t="inlineStr">
        <is>
          <t>Chưa có — điền đường dẫn báo cáo/commit/demo sau khi thực hiện</t>
        </is>
      </c>
    </row>
    <row r="12" ht="45.75" customHeight="1">
      <c r="A12" s="36" t="inlineStr">
        <is>
          <t>M1.2</t>
        </is>
      </c>
      <c r="B12" s="29" t="inlineStr">
        <is>
          <t>M1</t>
        </is>
      </c>
      <c r="C12" s="29" t="inlineStr">
        <is>
          <t>Làm sạch, chia đoạn và gắn provenance</t>
        </is>
      </c>
      <c r="D12" s="30" t="n">
        <v>46328</v>
      </c>
      <c r="E12" s="30" t="n">
        <v>46329</v>
      </c>
      <c r="F12" s="29" t="inlineStr">
        <is>
          <t>PM</t>
        </is>
      </c>
      <c r="G12" s="29" t="n">
        <v>1</v>
      </c>
      <c r="H12" s="29" t="inlineStr">
        <is>
          <t>Trần Đình Khương</t>
        </is>
      </c>
      <c r="I12" s="29" t="inlineStr">
        <is>
          <t>Data engineering</t>
        </is>
      </c>
      <c r="J12" s="29" t="inlineStr">
        <is>
          <t>Raw HTML/text + inventory</t>
        </is>
      </c>
      <c r="K12" s="29" t="inlineStr">
        <is>
          <t>Bỏ navigation/footer; giữ heading, bảng, điều kiện/ngoại lệ; dedup; chunk theo điều khoản; xử lý missing/empty; lưu raw offset và hash ổn định.</t>
        </is>
      </c>
      <c r="L12" s="29" t="inlineStr">
        <is>
          <t>policies_clean.jsonl; policy_chunks.jsonl; cleaning QA report</t>
        </is>
      </c>
      <c r="M12" s="29" t="inlineStr">
        <is>
          <t>MOD-02</t>
        </is>
      </c>
      <c r="N12" s="29" t="inlineStr">
        <is>
          <t>Python HTML parser; Pydantic; JSONL</t>
        </is>
      </c>
      <c r="O12" s="29" t="inlineStr">
        <is>
          <t>M1.1</t>
        </is>
      </c>
      <c r="P12" s="29" t="inlineStr">
        <is>
          <t>IO-03, IO-04</t>
        </is>
      </c>
      <c r="Q12" s="29" t="inlineStr">
        <is>
          <t>Mỗi đoạn resolve được nguồn; kiểm tra thủ công toàn bộ ~30 điều khoản demo; chạy lại không nhân đôi.</t>
        </is>
      </c>
      <c r="R12" s="29" t="inlineStr">
        <is>
          <t>SRC-06 §4–5,8; SRC-10</t>
        </is>
      </c>
      <c r="S12" s="29" t="inlineStr">
        <is>
          <t>Core</t>
        </is>
      </c>
      <c r="T12" s="29">
        <f>'WBS'!J20</f>
        <v/>
      </c>
      <c r="U12" s="29" t="inlineStr">
        <is>
          <t>Chưa có — điền đường dẫn báo cáo/commit/demo sau khi thực hiện</t>
        </is>
      </c>
    </row>
    <row r="13" ht="62.25" customHeight="1">
      <c r="A13" s="35" t="inlineStr">
        <is>
          <t>M1.3</t>
        </is>
      </c>
      <c r="B13" s="27" t="inlineStr">
        <is>
          <t>M1</t>
        </is>
      </c>
      <c r="C13" s="27" t="inlineStr">
        <is>
          <t>Policy catalog, trạng thái duyệt và PII boundary</t>
        </is>
      </c>
      <c r="D13" s="28" t="n">
        <v>46329</v>
      </c>
      <c r="E13" s="28" t="n">
        <v>46330</v>
      </c>
      <c r="F13" s="27" t="inlineStr">
        <is>
          <t>PM</t>
        </is>
      </c>
      <c r="G13" s="27" t="n">
        <v>1</v>
      </c>
      <c r="H13" s="27" t="inlineStr">
        <is>
          <t>Trần Đình Khương</t>
        </is>
      </c>
      <c r="I13" s="27" t="inlineStr">
        <is>
          <t>Backend / Data</t>
        </is>
      </c>
      <c r="J13" s="27" t="inlineStr">
        <is>
          <t>Policy chunks; draft registry; synthetic PII</t>
        </is>
      </c>
      <c r="K13" s="27" t="inlineStr">
        <is>
          <t>Lưu version/effective dates/scope/status; ngày không biết giữ unknown để duyệt; che PII text/logs; chỉ đưa policy approved vào index; tách dữ liệu đơn hàng.</t>
        </is>
      </c>
      <c r="L13" s="27" t="inlineStr">
        <is>
          <t>Registry migrations; policy versions; masking service; fixture assertions</t>
        </is>
      </c>
      <c r="M13" s="27" t="inlineStr">
        <is>
          <t>MOD-02, MOD-06, MOD-12</t>
        </is>
      </c>
      <c r="N13" s="27" t="inlineStr">
        <is>
          <t>PostgreSQL; Pydantic; regex + NER; pytest</t>
        </is>
      </c>
      <c r="O13" s="27" t="inlineStr">
        <is>
          <t>M1.2</t>
        </is>
      </c>
      <c r="P13" s="27" t="inlineStr">
        <is>
          <t>IO-04, IO-07</t>
        </is>
      </c>
      <c r="Q13" s="27" t="inlineStr">
        <is>
          <t>Draft/expired/unknown-effectivity không dùng để kết luận quyền lợi; không raw PII trong index/prompt/log fixtures.</t>
        </is>
      </c>
      <c r="R13" s="27" t="inlineStr">
        <is>
          <t>SRC-02 §7.2,7.8,14; SRC-06 §2,5</t>
        </is>
      </c>
      <c r="S13" s="27" t="inlineStr">
        <is>
          <t>Core</t>
        </is>
      </c>
      <c r="T13" s="27">
        <f>'WBS'!J21</f>
        <v/>
      </c>
      <c r="U13" s="27" t="inlineStr">
        <is>
          <t>Chưa có — điền đường dẫn báo cáo/commit/demo sau khi thực hiện</t>
        </is>
      </c>
    </row>
    <row r="14" ht="104.81" customHeight="1">
      <c r="A14" s="36" t="inlineStr">
        <is>
          <t>M1.4</t>
        </is>
      </c>
      <c r="B14" s="29" t="inlineStr">
        <is>
          <t>M1</t>
        </is>
      </c>
      <c r="C14" s="29" t="inlineStr">
        <is>
          <t>Tạo bộ đánh giá chatbot và privacy ban đầu</t>
        </is>
      </c>
      <c r="D14" s="30" t="n">
        <v>46330</v>
      </c>
      <c r="E14" s="30" t="n">
        <v>46331</v>
      </c>
      <c r="F14" s="29" t="inlineStr">
        <is>
          <t>PM</t>
        </is>
      </c>
      <c r="G14" s="29" t="n">
        <v>1</v>
      </c>
      <c r="H14" s="29" t="inlineStr">
        <is>
          <t>Trần Đình Khương</t>
        </is>
      </c>
      <c r="I14" s="29" t="inlineStr">
        <is>
          <t>QA / Data</t>
        </is>
      </c>
      <c r="J14" s="29" t="inlineStr">
        <is>
          <t>~30 clauses đã duyệt; rubric M0.4</t>
        </is>
      </c>
      <c r="K14" s="29" t="inlineStr">
        <is>
          <t>Soạn 40 policy questions có relevance labels và expected sources; tách tuning/held-out theo intent/document; 20 hội thoại nhiều lượt; sinh 500 PII fixtures rồi kiểm mẫu thủ công; thêm expired/conflict/no-evidence/injection.</t>
        </is>
      </c>
      <c r="L14" s="29" t="inlineStr">
        <is>
          <t>golden_policy_queries.jsonl; chat_eval.jsonl; pii_eval.jsonl + manifests</t>
        </is>
      </c>
      <c r="M14" s="29" t="inlineStr">
        <is>
          <t>MOD-02, MOD-12</t>
        </is>
      </c>
      <c r="N14" s="29" t="inlineStr">
        <is>
          <t>JSONL; Python; pytest; annotation rubric</t>
        </is>
      </c>
      <c r="O14" s="29" t="inlineStr">
        <is>
          <t>M1.3</t>
        </is>
      </c>
      <c r="P14" s="29" t="inlineStr">
        <is>
          <t>IO-14</t>
        </is>
      </c>
      <c r="Q14" s="29" t="inlineStr">
        <is>
          <t>Có no-answer và follow-up; test set không dùng tune prompt; synthetic PII được ghi đúng nguồn và giới hạn.</t>
        </is>
      </c>
      <c r="R14" s="29" t="inlineStr">
        <is>
          <t>SRC-06 §2,4,6; SRC-07 §ABSA/Retrieval eval</t>
        </is>
      </c>
      <c r="S14" s="29" t="inlineStr">
        <is>
          <t>Core</t>
        </is>
      </c>
      <c r="T14" s="29">
        <f>'WBS'!J22</f>
        <v/>
      </c>
      <c r="U14" s="29" t="inlineStr">
        <is>
          <t>Chưa có — điền đường dẫn báo cáo/commit/demo sau khi thực hiện</t>
        </is>
      </c>
    </row>
    <row r="15" ht="62.25" customHeight="1">
      <c r="A15" s="35" t="inlineStr">
        <is>
          <t>M1.G</t>
        </is>
      </c>
      <c r="B15" s="27" t="inlineStr">
        <is>
          <t>M1</t>
        </is>
      </c>
      <c r="C15" s="27" t="inlineStr">
        <is>
          <t>G1 — Review, nghiệm thu và báo cáo giai đoạn</t>
        </is>
      </c>
      <c r="D15" s="28" t="n">
        <v>46331</v>
      </c>
      <c r="E15" s="28" t="n">
        <v>46331</v>
      </c>
      <c r="F15" s="27" t="inlineStr">
        <is>
          <t>PM</t>
        </is>
      </c>
      <c r="G15" s="27" t="n">
        <v>0.5</v>
      </c>
      <c r="H15" s="27" t="inlineStr">
        <is>
          <t>Trần Đình Khương</t>
        </is>
      </c>
      <c r="I15" s="27" t="inlineStr">
        <is>
          <t>QA / quản lý dự án</t>
        </is>
      </c>
      <c r="J15" s="27" t="inlineStr">
        <is>
          <t>Các đầu ra và test/eval của M1</t>
        </is>
      </c>
      <c r="K15" s="27" t="inlineStr">
        <is>
          <t>Chạy lại kịch bản nghiệm thu; đối chiếu yêu cầu; ghi PASS/FAIL/BLOCKED, số đo thực và kế hoạch sửa. Tự kiểm tra theo checklist; stakeholder xác nhận nếu có.</t>
        </is>
      </c>
      <c r="L15" s="27" t="inlineStr">
        <is>
          <t>docs/reports/milestones/m1-review.md; checklist; demo; manifest phiên bản</t>
        </is>
      </c>
      <c r="M15" s="27" t="inlineStr">
        <is>
          <t>MOD-12</t>
        </is>
      </c>
      <c r="N15" s="27" t="inlineStr">
        <is>
          <t>pytest; eval reports; Git</t>
        </is>
      </c>
      <c r="O15" s="27" t="inlineStr">
        <is>
          <t>M1.4</t>
        </is>
      </c>
      <c r="Q15" s="27" t="inlineStr">
        <is>
          <t>G1: 5–10 policies/~30 clauses đã duyệt, truy nguồn đầy đủ; 40 queries + 20 hội thoại; privacy fixtures; ingestion idempotent.</t>
        </is>
      </c>
      <c r="R15" s="27" t="inlineStr">
        <is>
          <t>SRC-06; SRC-10; SRC-04</t>
        </is>
      </c>
      <c r="S15" s="27" t="inlineStr">
        <is>
          <t>Gate</t>
        </is>
      </c>
      <c r="T15" s="27">
        <f>'WBS'!J23</f>
        <v/>
      </c>
      <c r="U15" s="27" t="inlineStr">
        <is>
          <t>Chưa có — điền đường dẫn báo cáo/commit/demo sau khi thực hiện</t>
        </is>
      </c>
    </row>
    <row r="16" ht="45.75" customHeight="1">
      <c r="A16" s="36" t="inlineStr">
        <is>
          <t>M1.B</t>
        </is>
      </c>
      <c r="B16" s="29" t="inlineStr">
        <is>
          <t>M1</t>
        </is>
      </c>
      <c r="C16" s="29" t="inlineStr">
        <is>
          <t>Dự phòng sửa lỗi, tích hợp hoặc nghỉ theo lịch thực tế</t>
        </is>
      </c>
      <c r="D16" s="30" t="n">
        <v>46332</v>
      </c>
      <c r="E16" s="30" t="n">
        <v>46332</v>
      </c>
      <c r="F16" s="29" t="inlineStr">
        <is>
          <t>AM</t>
        </is>
      </c>
      <c r="G16" s="29" t="n">
        <v>1</v>
      </c>
      <c r="H16" s="29" t="inlineStr">
        <is>
          <t>Trần Đình Khương</t>
        </is>
      </c>
      <c r="I16" s="29" t="inlineStr">
        <is>
          <t>Dự phòng</t>
        </is>
      </c>
      <c r="J16" s="29" t="inlineStr">
        <is>
          <t>Blocker/failed gate hoặc ngày nghỉ đã xác nhận</t>
        </is>
      </c>
      <c r="K16" s="29" t="inlineStr">
        <is>
          <t>Ưu tiên sửa gate của giai đoạn; nếu chưa dùng thì giữ quỹ dự phòng. Không tự bổ sung tính năng.</t>
        </is>
      </c>
      <c r="L16" s="29" t="inlineStr">
        <is>
          <t>Gate được kiểm tra lại; nhật ký sử dụng dự phòng và lịch cập nhật</t>
        </is>
      </c>
      <c r="M16" s="29" t="inlineStr">
        <is>
          <t>MOD-12</t>
        </is>
      </c>
      <c r="N16" s="29" t="inlineStr">
        <is>
          <t>Issue log; regression tests</t>
        </is>
      </c>
      <c r="O16" s="29" t="inlineStr">
        <is>
          <t>RESERVE — không phải quan hệ finish-to-start</t>
        </is>
      </c>
      <c r="Q16" s="29" t="inlineStr">
        <is>
          <t>Không vượt ngày kết thúc giai đoạn; nếu vượt phải rebaseline, không đánh dấu Done khi gate fail.</t>
        </is>
      </c>
      <c r="R16" s="29" t="inlineStr">
        <is>
          <t>DEC-01; DEC-02</t>
        </is>
      </c>
      <c r="S16" s="29" t="inlineStr">
        <is>
          <t>Buffer</t>
        </is>
      </c>
      <c r="T16" s="29">
        <f>'WBS'!J24</f>
        <v/>
      </c>
      <c r="U16" s="29" t="inlineStr">
        <is>
          <t>Chưa có — điền đường dẫn báo cáo/commit/demo sau khi thực hiện</t>
        </is>
      </c>
    </row>
    <row r="17" ht="62.25" customHeight="1">
      <c r="A17" s="35" t="inlineStr">
        <is>
          <t>M2.1</t>
        </is>
      </c>
      <c r="B17" s="27" t="inlineStr">
        <is>
          <t>M2</t>
        </is>
      </c>
      <c r="C17" s="27" t="inlineStr">
        <is>
          <t>Lập chỉ mục và retrieval có bộ lọc</t>
        </is>
      </c>
      <c r="D17" s="28" t="n">
        <v>46335</v>
      </c>
      <c r="E17" s="28" t="n">
        <v>46336</v>
      </c>
      <c r="F17" s="27" t="inlineStr">
        <is>
          <t>AM</t>
        </is>
      </c>
      <c r="G17" s="27" t="n">
        <v>1.5</v>
      </c>
      <c r="H17" s="27" t="inlineStr">
        <is>
          <t>Trần Đình Khương</t>
        </is>
      </c>
      <c r="I17" s="27" t="inlineStr">
        <is>
          <t>Backend / ML</t>
        </is>
      </c>
      <c r="J17" s="27" t="inlineStr">
        <is>
          <t>Policy chunks và index contract</t>
        </is>
      </c>
      <c r="K17" s="27" t="inlineStr">
        <is>
          <t>Tạo namespace policies, dense + BM25 baseline, metadata indexes; enforce approved/effective/tenant filters; build snapshot và readiness; citations trả clause ID + URL.</t>
        </is>
      </c>
      <c r="L17" s="27" t="inlineStr">
        <is>
          <t>Index build pipeline; retrieval service; source resolver; index manifest</t>
        </is>
      </c>
      <c r="M17" s="27" t="inlineStr">
        <is>
          <t>MOD-04</t>
        </is>
      </c>
      <c r="N17" s="27" t="inlineStr">
        <is>
          <t>Qdrant; sentence-transformers; BM25; Python</t>
        </is>
      </c>
      <c r="O17" s="27" t="inlineStr">
        <is>
          <t>M1.G</t>
        </is>
      </c>
      <c r="P17" s="27" t="inlineStr">
        <is>
          <t>IO-04, IO-05</t>
        </is>
      </c>
      <c r="Q17" s="27" t="inlineStr">
        <is>
          <t>Count/hash đối chiếu; empty/index unavailable có trạng thái rõ; nguồn thật, bộ lọc đúng trên fixtures.</t>
        </is>
      </c>
      <c r="R17" s="27" t="inlineStr">
        <is>
          <t>SRC-02 §7.5; SRC-06 §4; SRC-07 Retrieval</t>
        </is>
      </c>
      <c r="S17" s="27" t="inlineStr">
        <is>
          <t>Core</t>
        </is>
      </c>
      <c r="T17" s="27">
        <f>'WBS'!J26</f>
        <v/>
      </c>
      <c r="U17" s="27" t="inlineStr">
        <is>
          <t>Chưa có — điền đường dẫn báo cáo/commit/demo sau khi thực hiện</t>
        </is>
      </c>
    </row>
    <row r="18" ht="45.75" customHeight="1">
      <c r="A18" s="36" t="inlineStr">
        <is>
          <t>M2.2</t>
        </is>
      </c>
      <c r="B18" s="29" t="inlineStr">
        <is>
          <t>M2</t>
        </is>
      </c>
      <c r="C18" s="29" t="inlineStr">
        <is>
          <t>Benchmark BM25, dense và hybrid RRF</t>
        </is>
      </c>
      <c r="D18" s="30" t="n">
        <v>46336</v>
      </c>
      <c r="E18" s="30" t="n">
        <v>46337</v>
      </c>
      <c r="F18" s="29" t="inlineStr">
        <is>
          <t>PM</t>
        </is>
      </c>
      <c r="G18" s="29" t="n">
        <v>1</v>
      </c>
      <c r="H18" s="29" t="inlineStr">
        <is>
          <t>Trần Đình Khương</t>
        </is>
      </c>
      <c r="I18" s="29" t="inlineStr">
        <is>
          <t>ML / QA</t>
        </is>
      </c>
      <c r="J18" s="29" t="inlineStr">
        <is>
          <t>Policy query tuning + held-out; index snapshots</t>
        </is>
      </c>
      <c r="K18" s="29" t="inlineStr">
        <is>
          <t>Đánh giá riêng ba mode cùng corpus/query; tune chỉ trên dev; đo Recall@5/@10, MRR, nDCG, p95, memory và cost; chốt mode theo kết quả.</t>
        </is>
      </c>
      <c r="L18" s="29" t="inlineStr">
        <is>
          <t>retrieval_policy_baseline.json + report + selected config</t>
        </is>
      </c>
      <c r="M18" s="29" t="inlineStr">
        <is>
          <t>MOD-04</t>
        </is>
      </c>
      <c r="N18" s="29" t="inlineStr">
        <is>
          <t>rank-bm25; Qdrant; RRF; Python eval</t>
        </is>
      </c>
      <c r="O18" s="29" t="inlineStr">
        <is>
          <t>M2.1</t>
        </is>
      </c>
      <c r="P18" s="29" t="inlineStr">
        <is>
          <t>IO-14</t>
        </is>
      </c>
      <c r="Q18" s="29" t="inlineStr">
        <is>
          <t>Không mặc định hybrid thắng; giữ per-query outputs và manifest; số liệu chưa đạt phải ghi FAIL.</t>
        </is>
      </c>
      <c r="R18" s="29" t="inlineStr">
        <is>
          <t>SRC-02 §13.2; SRC-07 Retrieval; WEB-02</t>
        </is>
      </c>
      <c r="S18" s="29" t="inlineStr">
        <is>
          <t>Core</t>
        </is>
      </c>
      <c r="T18" s="29">
        <f>'WBS'!J27</f>
        <v/>
      </c>
      <c r="U18" s="29" t="inlineStr">
        <is>
          <t>Chưa có — điền đường dẫn báo cáo/commit/demo sau khi thực hiện</t>
        </is>
      </c>
    </row>
    <row r="19" ht="45.75" customHeight="1">
      <c r="A19" s="35" t="inlineStr">
        <is>
          <t>M2.3</t>
        </is>
      </c>
      <c r="B19" s="27" t="inlineStr">
        <is>
          <t>M2</t>
        </is>
      </c>
      <c r="C19" s="27" t="inlineStr">
        <is>
          <t>Đánh giá reranker trên tập nhỏ</t>
        </is>
      </c>
      <c r="D19" s="28" t="n">
        <v>46337</v>
      </c>
      <c r="E19" s="28" t="n">
        <v>46337</v>
      </c>
      <c r="F19" s="27" t="inlineStr">
        <is>
          <t>PM</t>
        </is>
      </c>
      <c r="G19" s="27" t="n">
        <v>0.5</v>
      </c>
      <c r="H19" s="27" t="inlineStr">
        <is>
          <t>Trần Đình Khương</t>
        </is>
      </c>
      <c r="I19" s="27" t="inlineStr">
        <is>
          <t>ML</t>
        </is>
      </c>
      <c r="J19" s="27" t="inlineStr">
        <is>
          <t>Candidates và benchmark M2.2</t>
        </is>
      </c>
      <c r="K19" s="27" t="inlineStr">
        <is>
          <t>Thử BGE cross-encoder Top-50 → Top-5/10; so chất lượng/latency theo rubric đã khóa; giữ feature flag nếu chưa có gain.</t>
        </is>
      </c>
      <c r="L19" s="27" t="inlineStr">
        <is>
          <t>Reranker adapter; enable/disable ADR và giới hạn tài nguyên</t>
        </is>
      </c>
      <c r="M19" s="27" t="inlineStr">
        <is>
          <t>MOD-04</t>
        </is>
      </c>
      <c r="N19" s="27" t="inlineStr">
        <is>
          <t>BGE cross-encoder candidate; sentence-transformers</t>
        </is>
      </c>
      <c r="O19" s="27" t="inlineStr">
        <is>
          <t>M2.2</t>
        </is>
      </c>
      <c r="P19" s="27" t="inlineStr">
        <is>
          <t>IO-05</t>
        </is>
      </c>
      <c r="Q19" s="27" t="inlineStr">
        <is>
          <t>Chỉ bật runtime nếu held-out gain và latency budget đạt; score không được gọi là xác suất đúng.</t>
        </is>
      </c>
      <c r="R19" s="27" t="inlineStr">
        <is>
          <t>SRC-02 §7.5; SRC-07 RET-AC-08</t>
        </is>
      </c>
      <c r="S19" s="27" t="inlineStr">
        <is>
          <t>Core</t>
        </is>
      </c>
      <c r="T19" s="27">
        <f>'WBS'!J28</f>
        <v/>
      </c>
      <c r="U19" s="27" t="inlineStr">
        <is>
          <t>Chưa có — điền đường dẫn báo cáo/commit/demo sau khi thực hiện</t>
        </is>
      </c>
    </row>
    <row r="20" ht="148.99" customHeight="1">
      <c r="A20" s="36" t="inlineStr">
        <is>
          <t>M2.4</t>
        </is>
      </c>
      <c r="B20" s="29" t="inlineStr">
        <is>
          <t>M2</t>
        </is>
      </c>
      <c r="C20" s="29" t="inlineStr">
        <is>
          <t>Sinh câu trả lời có nguồn và kiểm soát đầu ra</t>
        </is>
      </c>
      <c r="D20" s="30" t="n">
        <v>46338</v>
      </c>
      <c r="E20" s="30" t="n">
        <v>46338</v>
      </c>
      <c r="F20" s="29" t="inlineStr">
        <is>
          <t>AM</t>
        </is>
      </c>
      <c r="G20" s="29" t="n">
        <v>1</v>
      </c>
      <c r="H20" s="29" t="inlineStr">
        <is>
          <t>Trần Đình Khương</t>
        </is>
      </c>
      <c r="I20" s="29" t="inlineStr">
        <is>
          <t>Backend / LLM</t>
        </is>
      </c>
      <c r="J20" s="29" t="inlineStr">
        <is>
          <t>EvidencePack; model config; chat eval</t>
        </is>
      </c>
      <c r="K20" s="29" t="inlineStr">
        <is>
          <t>Viết client có timeout/retry hữu hạn; prompt tiếng Việt theo evidence; schema output; kiểm citation tồn tại/đúng clause và claims; abstain hoặc hỏi thêm; ghi prompt/model version. Tách claim verification, schema validation, policy compliance và output PII filter; kiểm đủ từng bước, không coi JSON hợp lệ là grounded.</t>
        </is>
      </c>
      <c r="L20" s="29" t="inlineStr">
        <is>
          <t>LLM service + guardrails + Answer contract</t>
        </is>
      </c>
      <c r="M20" s="29" t="inlineStr">
        <is>
          <t>MOD-03</t>
        </is>
      </c>
      <c r="N20" s="29" t="inlineStr">
        <is>
          <t>LLM API cấu hình; HTTP client; Pydantic; pytest</t>
        </is>
      </c>
      <c r="O20" s="29" t="inlineStr">
        <is>
          <t>M2.3</t>
        </is>
      </c>
      <c r="P20" s="29" t="inlineStr">
        <is>
          <t>IO-02, IO-05</t>
        </is>
      </c>
      <c r="Q20" s="29" t="inlineStr">
        <is>
          <t>Không bịa policy/refund; không có nguồn thì không khẳng định; schema invalid không trả nội dung chưa kiểm.</t>
        </is>
      </c>
      <c r="R20" s="29" t="inlineStr">
        <is>
          <t>SRC-02 §7.9; SRC-04; SRC-06 §6</t>
        </is>
      </c>
      <c r="S20" s="29" t="inlineStr">
        <is>
          <t>Core</t>
        </is>
      </c>
      <c r="T20" s="29">
        <f>'WBS'!J29</f>
        <v/>
      </c>
      <c r="U20" s="29" t="inlineStr">
        <is>
          <t>Chưa có — điền đường dẫn báo cáo/commit/demo sau khi thực hiện</t>
        </is>
      </c>
    </row>
    <row r="21" ht="189.88" customHeight="1">
      <c r="A21" s="35" t="inlineStr">
        <is>
          <t>M2.5</t>
        </is>
      </c>
      <c r="B21" s="27" t="inlineStr">
        <is>
          <t>M2</t>
        </is>
      </c>
      <c r="C21" s="27" t="inlineStr">
        <is>
          <t>API chat, phiên và bộ nhớ nhiều lượt</t>
        </is>
      </c>
      <c r="D21" s="28" t="n">
        <v>46339</v>
      </c>
      <c r="E21" s="28" t="n">
        <v>46342</v>
      </c>
      <c r="F21" s="27" t="inlineStr">
        <is>
          <t>AM</t>
        </is>
      </c>
      <c r="G21" s="27" t="n">
        <v>1.5</v>
      </c>
      <c r="H21" s="27" t="inlineStr">
        <is>
          <t>Trần Đình Khương</t>
        </is>
      </c>
      <c r="I21" s="27" t="inlineStr">
        <is>
          <t>Backend</t>
        </is>
      </c>
      <c r="J21" s="27" t="inlineStr">
        <is>
          <t>ChatRequest/Response, generation service, PostgreSQL</t>
        </is>
      </c>
      <c r="K21" s="27" t="inlineStr">
        <is>
          <t>POST /api/v1/chat/messages; lưu message/request_id/idempotency; ownership; sliding context và summary; rewrite follow-up từ lịch sử; hủy/timeout; chỉ truy lịch sử được phép. Đặt Redis sliding-window rate limit trước gọi retrieval/LLM, quota token/request, input size và timeout; Redis unavailable trả lỗi có kiểm soát. M2 route bằng intent/rules policy_query/out_of_scope; classifier đầy đủ bổ sung ở M4.</t>
        </is>
      </c>
      <c r="L21" s="27" t="inlineStr">
        <is>
          <t>Conversation service; migrations; session/history endpoints; auth integration</t>
        </is>
      </c>
      <c r="M21" s="27" t="inlineStr">
        <is>
          <t>MOD-01</t>
        </is>
      </c>
      <c r="N21" s="27" t="inlineStr">
        <is>
          <t>FastAPI; PostgreSQL; Redis cache; Pydantic</t>
        </is>
      </c>
      <c r="O21" s="27" t="inlineStr">
        <is>
          <t>M2.4</t>
        </is>
      </c>
      <c r="P21" s="27" t="inlineStr">
        <is>
          <t>IO-01, IO-02</t>
        </is>
      </c>
      <c r="Q21" s="27" t="inlineStr">
        <is>
          <t>Hai phiên không lẫn dữ liệu; retry không nhân đôi message; follow-up giữ policy context; không bắt nhập product cho câu hỏi chung. Test 429/Retry-After, quota và Redis failure trước gọi LLM; request bị từ chối không tiêu token.</t>
        </is>
      </c>
      <c r="R21" s="27" t="inlineStr">
        <is>
          <t>SRC-02 §5.4,7.9; SRC-16</t>
        </is>
      </c>
      <c r="S21" s="27" t="inlineStr">
        <is>
          <t>Core</t>
        </is>
      </c>
      <c r="T21" s="27">
        <f>'WBS'!J30</f>
        <v/>
      </c>
      <c r="U21" s="27" t="inlineStr">
        <is>
          <t>Chưa có — điền đường dẫn báo cáo/commit/demo sau khi thực hiện</t>
        </is>
      </c>
    </row>
    <row r="22" ht="62.25" customHeight="1">
      <c r="A22" s="36" t="inlineStr">
        <is>
          <t>M2.6</t>
        </is>
      </c>
      <c r="B22" s="29" t="inlineStr">
        <is>
          <t>M2</t>
        </is>
      </c>
      <c r="C22" s="29" t="inlineStr">
        <is>
          <t>Giao diện chatbot và nguồn tham khảo</t>
        </is>
      </c>
      <c r="D22" s="30" t="n">
        <v>46342</v>
      </c>
      <c r="E22" s="30" t="n">
        <v>46343</v>
      </c>
      <c r="F22" s="29" t="inlineStr">
        <is>
          <t>PM</t>
        </is>
      </c>
      <c r="G22" s="29" t="n">
        <v>1.5</v>
      </c>
      <c r="H22" s="29" t="inlineStr">
        <is>
          <t>Trần Đình Khương</t>
        </is>
      </c>
      <c r="I22" s="29" t="inlineStr">
        <is>
          <t>Frontend</t>
        </is>
      </c>
      <c r="J22" s="29" t="inlineStr">
        <is>
          <t>Wireframe; chat/history API</t>
        </is>
      </c>
      <c r="K22" s="29" t="inlineStr">
        <is>
          <t>Tạo màn chat, lịch sử, nguồn clickable, error/retry, loading, clarification và nút chuyển hỗ trợ; nối API thật; kiểm desktop/mobile và accessibility cơ bản.</t>
        </is>
      </c>
      <c r="L22" s="29" t="inlineStr">
        <is>
          <t>Buyer Chat trong apps/web chạy với backend thật; UI smoke scripts</t>
        </is>
      </c>
      <c r="M22" s="29" t="inlineStr">
        <is>
          <t>MOD-01</t>
        </is>
      </c>
      <c r="N22" s="29" t="inlineStr">
        <is>
          <t>React; TypeScript; CSS; browser tests</t>
        </is>
      </c>
      <c r="O22" s="29" t="inlineStr">
        <is>
          <t>M2.5</t>
        </is>
      </c>
      <c r="P22" s="29" t="inlineStr">
        <is>
          <t>IO-01, IO-02</t>
        </is>
      </c>
      <c r="Q22" s="29" t="inlineStr">
        <is>
          <t>Cả happy path và thiếu bằng chứng hoạt động; trạng thái chờ không tạo nội dung giả; nguồn mở đúng clause/doc.</t>
        </is>
      </c>
      <c r="R22" s="29" t="inlineStr">
        <is>
          <t>SRC-03 US-BUY-01; SRC-02 §3.1; WEB-04</t>
        </is>
      </c>
      <c r="S22" s="29" t="inlineStr">
        <is>
          <t>Core</t>
        </is>
      </c>
      <c r="T22" s="29">
        <f>'WBS'!J31</f>
        <v/>
      </c>
      <c r="U22" s="29" t="inlineStr">
        <is>
          <t>Chưa có — điền đường dẫn báo cáo/commit/demo sau khi thực hiện</t>
        </is>
      </c>
    </row>
    <row r="23" ht="45.75" customHeight="1">
      <c r="A23" s="35" t="inlineStr">
        <is>
          <t>M2.7</t>
        </is>
      </c>
      <c r="B23" s="27" t="inlineStr">
        <is>
          <t>M2</t>
        </is>
      </c>
      <c r="C23" s="27" t="inlineStr">
        <is>
          <t>Telemetry, đóng gói demo và xử lý dependency fail</t>
        </is>
      </c>
      <c r="D23" s="28" t="n">
        <v>46344</v>
      </c>
      <c r="E23" s="28" t="n">
        <v>46344</v>
      </c>
      <c r="F23" s="27" t="inlineStr">
        <is>
          <t>AM</t>
        </is>
      </c>
      <c r="G23" s="27" t="n">
        <v>0.5</v>
      </c>
      <c r="H23" s="27" t="inlineStr">
        <is>
          <t>Trần Đình Khương</t>
        </is>
      </c>
      <c r="I23" s="27" t="inlineStr">
        <is>
          <t>Platform</t>
        </is>
      </c>
      <c r="J23" s="27" t="inlineStr">
        <is>
          <t>Chat app + retrieval + generation</t>
        </is>
      </c>
      <c r="K23" s="27" t="inlineStr">
        <is>
          <t>Trace request→retrieval→LLM; đếm token/cost/latency; log đã redacted; Compose startup và readiness thật; thử Qdrant/LLM timeout.</t>
        </is>
      </c>
      <c r="L23" s="27" t="inlineStr">
        <is>
          <t>Compose demo; logs/traces; run instructions</t>
        </is>
      </c>
      <c r="M23" s="27" t="inlineStr">
        <is>
          <t>MOD-12</t>
        </is>
      </c>
      <c r="N23" s="27" t="inlineStr">
        <is>
          <t>Docker Compose; OpenTelemetry; structured logging</t>
        </is>
      </c>
      <c r="O23" s="27" t="inlineStr">
        <is>
          <t>M2.6</t>
        </is>
      </c>
      <c r="P23" s="27" t="inlineStr">
        <is>
          <t>IO-15</t>
        </is>
      </c>
      <c r="Q23" s="27" t="inlineStr">
        <is>
          <t>Có source/model/index/prompt version; không success giả khi dependency hỏng.</t>
        </is>
      </c>
      <c r="R23" s="27" t="inlineStr">
        <is>
          <t>SRC-02 §15–16; SRC-07 NFR</t>
        </is>
      </c>
      <c r="S23" s="27" t="inlineStr">
        <is>
          <t>Core</t>
        </is>
      </c>
      <c r="T23" s="27">
        <f>'WBS'!J32</f>
        <v/>
      </c>
      <c r="U23" s="27" t="inlineStr">
        <is>
          <t>Chưa có — điền đường dẫn báo cáo/commit/demo sau khi thực hiện</t>
        </is>
      </c>
    </row>
    <row r="24" ht="62.25" customHeight="1">
      <c r="A24" s="36" t="inlineStr">
        <is>
          <t>M2.8</t>
        </is>
      </c>
      <c r="B24" s="29" t="inlineStr">
        <is>
          <t>M2</t>
        </is>
      </c>
      <c r="C24" s="29" t="inlineStr">
        <is>
          <t>Đánh giá chatbot end-to-end và sửa lỗi</t>
        </is>
      </c>
      <c r="D24" s="30" t="n">
        <v>46344</v>
      </c>
      <c r="E24" s="30" t="n">
        <v>46345</v>
      </c>
      <c r="F24" s="29" t="inlineStr">
        <is>
          <t>PM</t>
        </is>
      </c>
      <c r="G24" s="29" t="n">
        <v>1</v>
      </c>
      <c r="H24" s="29" t="inlineStr">
        <is>
          <t>Trần Đình Khương</t>
        </is>
      </c>
      <c r="I24" s="29" t="inlineStr">
        <is>
          <t>QA</t>
        </is>
      </c>
      <c r="J24" s="29" t="inlineStr">
        <is>
          <t>40 policy queries; 20 dialogues; privacy/attack cases</t>
        </is>
      </c>
      <c r="K24" s="29" t="inlineStr">
        <is>
          <t>Chạy suite frozen; review answer/citation; kiểm response ownership, injection, expired policy, no-answer và request duplicate; ghi latency thực và hạn chế.</t>
        </is>
      </c>
      <c r="L24" s="29" t="inlineStr">
        <is>
          <t>chatbot_mvp_eval report; demo recording; regression suite</t>
        </is>
      </c>
      <c r="M24" s="29" t="inlineStr">
        <is>
          <t>MOD-01, MOD-03, MOD-04, MOD-12</t>
        </is>
      </c>
      <c r="N24" s="29" t="inlineStr">
        <is>
          <t>pytest; browser tests; human rubric</t>
        </is>
      </c>
      <c r="O24" s="29" t="inlineStr">
        <is>
          <t>M2.7</t>
        </is>
      </c>
      <c r="P24" s="29" t="inlineStr">
        <is>
          <t>IO-14</t>
        </is>
      </c>
      <c r="Q24" s="29" t="inlineStr">
        <is>
          <t>MVP: ≥90% policy QA rubric pass (đề xuất); citation completeness ≥95%; 0 unsupported promises/PII leaks trên suite; full response &lt;60s trên kịch bản chuẩn.</t>
        </is>
      </c>
      <c r="R24" s="29" t="inlineStr">
        <is>
          <t>SRC-04; SRC-02 §9,13; SRC-06 §6</t>
        </is>
      </c>
      <c r="S24" s="29" t="inlineStr">
        <is>
          <t>Core</t>
        </is>
      </c>
      <c r="T24" s="29">
        <f>'WBS'!J33</f>
        <v/>
      </c>
      <c r="U24" s="29" t="inlineStr">
        <is>
          <t>Chưa có — điền đường dẫn báo cáo/commit/demo sau khi thực hiện</t>
        </is>
      </c>
    </row>
    <row r="25" ht="115.62" customHeight="1">
      <c r="A25" s="35" t="inlineStr">
        <is>
          <t>M2.G</t>
        </is>
      </c>
      <c r="B25" s="27" t="inlineStr">
        <is>
          <t>M2</t>
        </is>
      </c>
      <c r="C25" s="27" t="inlineStr">
        <is>
          <t>G2 — Review, nghiệm thu và báo cáo giai đoạn</t>
        </is>
      </c>
      <c r="D25" s="28" t="n">
        <v>46345</v>
      </c>
      <c r="E25" s="28" t="n">
        <v>46345</v>
      </c>
      <c r="F25" s="27" t="inlineStr">
        <is>
          <t>PM</t>
        </is>
      </c>
      <c r="G25" s="27" t="n">
        <v>0.5</v>
      </c>
      <c r="H25" s="27" t="inlineStr">
        <is>
          <t>Trần Đình Khương</t>
        </is>
      </c>
      <c r="I25" s="27" t="inlineStr">
        <is>
          <t>QA / quản lý dự án</t>
        </is>
      </c>
      <c r="J25" s="27" t="inlineStr">
        <is>
          <t>Các đầu ra và test/eval của M2</t>
        </is>
      </c>
      <c r="K25" s="27" t="inlineStr">
        <is>
          <t>Chạy lại kịch bản nghiệm thu; đối chiếu yêu cầu; ghi PASS/FAIL/BLOCKED, số đo thực và kế hoạch sửa. Tự kiểm tra theo checklist; stakeholder xác nhận nếu có.</t>
        </is>
      </c>
      <c r="L25" s="27" t="inlineStr">
        <is>
          <t>docs/reports/milestones/m2-review.md; checklist; demo; manifest phiên bản</t>
        </is>
      </c>
      <c r="M25" s="27" t="inlineStr">
        <is>
          <t>MOD-12</t>
        </is>
      </c>
      <c r="N25" s="27" t="inlineStr">
        <is>
          <t>pytest; eval reports; Git</t>
        </is>
      </c>
      <c r="O25" s="27" t="inlineStr">
        <is>
          <t>M2.8</t>
        </is>
      </c>
      <c r="Q25" s="27" t="inlineStr">
        <is>
          <t>G2: chatbot UI→API→retrieval→LLM→citations chạy thật; multi-turn/fallback/privacy, claim/schema/policy/output filter và rate-limit/quota pass; benchmark retrieval/generation riêng. Chưa có ABSA/GraphRAG không được gọi hoàn thành full Buyer story.</t>
        </is>
      </c>
      <c r="R25" s="27" t="inlineStr">
        <is>
          <t>SRC-03 US-BUY-01; SRC-04; SRC-02 §21</t>
        </is>
      </c>
      <c r="S25" s="27" t="inlineStr">
        <is>
          <t>Gate</t>
        </is>
      </c>
      <c r="T25" s="27">
        <f>'WBS'!J34</f>
        <v/>
      </c>
      <c r="U25" s="27" t="inlineStr">
        <is>
          <t>Chưa có — điền đường dẫn báo cáo/commit/demo sau khi thực hiện</t>
        </is>
      </c>
    </row>
    <row r="26" ht="45.75" customHeight="1">
      <c r="A26" s="36" t="inlineStr">
        <is>
          <t>M2.B</t>
        </is>
      </c>
      <c r="B26" s="29" t="inlineStr">
        <is>
          <t>M2</t>
        </is>
      </c>
      <c r="C26" s="29" t="inlineStr">
        <is>
          <t>Dự phòng sửa lỗi, tích hợp hoặc nghỉ theo lịch thực tế</t>
        </is>
      </c>
      <c r="D26" s="30" t="n">
        <v>46346</v>
      </c>
      <c r="E26" s="30" t="n">
        <v>46346</v>
      </c>
      <c r="F26" s="29" t="inlineStr">
        <is>
          <t>AM</t>
        </is>
      </c>
      <c r="G26" s="29" t="n">
        <v>1</v>
      </c>
      <c r="H26" s="29" t="inlineStr">
        <is>
          <t>Trần Đình Khương</t>
        </is>
      </c>
      <c r="I26" s="29" t="inlineStr">
        <is>
          <t>Dự phòng</t>
        </is>
      </c>
      <c r="J26" s="29" t="inlineStr">
        <is>
          <t>Blocker/failed gate hoặc ngày nghỉ đã xác nhận</t>
        </is>
      </c>
      <c r="K26" s="29" t="inlineStr">
        <is>
          <t>Ưu tiên sửa gate của giai đoạn; nếu chưa dùng thì giữ quỹ dự phòng. Không tự bổ sung tính năng.</t>
        </is>
      </c>
      <c r="L26" s="29" t="inlineStr">
        <is>
          <t>Gate được kiểm tra lại; nhật ký sử dụng dự phòng và lịch cập nhật</t>
        </is>
      </c>
      <c r="M26" s="29" t="inlineStr">
        <is>
          <t>MOD-12</t>
        </is>
      </c>
      <c r="N26" s="29" t="inlineStr">
        <is>
          <t>Issue log; regression tests</t>
        </is>
      </c>
      <c r="O26" s="29" t="inlineStr">
        <is>
          <t>RESERVE — không phải quan hệ finish-to-start</t>
        </is>
      </c>
      <c r="Q26" s="29" t="inlineStr">
        <is>
          <t>Không vượt ngày kết thúc giai đoạn; nếu vượt phải rebaseline, không đánh dấu Done khi gate fail.</t>
        </is>
      </c>
      <c r="R26" s="29" t="inlineStr">
        <is>
          <t>DEC-01; DEC-02</t>
        </is>
      </c>
      <c r="S26" s="29" t="inlineStr">
        <is>
          <t>Buffer</t>
        </is>
      </c>
      <c r="T26" s="29">
        <f>'WBS'!J35</f>
        <v/>
      </c>
      <c r="U26" s="29" t="inlineStr">
        <is>
          <t>Chưa có — điền đường dẫn báo cáo/commit/demo sau khi thực hiện</t>
        </is>
      </c>
    </row>
    <row r="27" ht="62.25" customHeight="1">
      <c r="A27" s="35" t="inlineStr">
        <is>
          <t>M3.1</t>
        </is>
      </c>
      <c r="B27" s="27" t="inlineStr">
        <is>
          <t>M3</t>
        </is>
      </c>
      <c r="C27" s="27" t="inlineStr">
        <is>
          <t>Mô hình đơn hàng, ticket, action và outcome</t>
        </is>
      </c>
      <c r="D27" s="28" t="n">
        <v>46349</v>
      </c>
      <c r="E27" s="28" t="n">
        <v>46349</v>
      </c>
      <c r="F27" s="27" t="inlineStr">
        <is>
          <t>AM</t>
        </is>
      </c>
      <c r="G27" s="27" t="n">
        <v>1</v>
      </c>
      <c r="H27" s="27" t="inlineStr">
        <is>
          <t>Trần Đình Khương</t>
        </is>
      </c>
      <c r="I27" s="27" t="inlineStr">
        <is>
          <t>Backend / Data</t>
        </is>
      </c>
      <c r="J27" s="27" t="inlineStr">
        <is>
          <t>Seed specs + contracts M0</t>
        </is>
      </c>
      <c r="K27" s="27" t="inlineStr">
        <is>
          <t>Migration customer/order/product/version/ticket/action/outcome; seed 5–10 sản phẩm, ~15 phiên bản, 200 orders; mọi dữ liệu demo có synthetic flag; thiết kế idempotency và timestamps.</t>
        </is>
      </c>
      <c r="L27" s="27" t="inlineStr">
        <is>
          <t>Relational seed + schema + ticket lifecycle endpoints</t>
        </is>
      </c>
      <c r="M27" s="27" t="inlineStr">
        <is>
          <t>MOD-05, MOD-06</t>
        </is>
      </c>
      <c r="N27" s="27" t="inlineStr">
        <is>
          <t>PostgreSQL; Pydantic; migrations</t>
        </is>
      </c>
      <c r="O27" s="27" t="inlineStr">
        <is>
          <t>M2.G</t>
        </is>
      </c>
      <c r="P27" s="27" t="inlineStr">
        <is>
          <t>IO-06, IO-09</t>
        </is>
      </c>
      <c r="Q27" s="27" t="inlineStr">
        <is>
          <t>Bridge keys nhất quán; FK hợp lệ; không giả lập 200 khách thật; lịch sử ticket không overwrite.</t>
        </is>
      </c>
      <c r="R27" s="27" t="inlineStr">
        <is>
          <t>SRC-02 §8; SRC-06 §5,8</t>
        </is>
      </c>
      <c r="S27" s="27" t="inlineStr">
        <is>
          <t>Core</t>
        </is>
      </c>
      <c r="T27" s="27">
        <f>'WBS'!J37</f>
        <v/>
      </c>
      <c r="U27" s="27" t="inlineStr">
        <is>
          <t>Chưa có — điền đường dẫn báo cáo/commit/demo sau khi thực hiện</t>
        </is>
      </c>
    </row>
    <row r="28" ht="178.13" customHeight="1">
      <c r="A28" s="36" t="inlineStr">
        <is>
          <t>M3.2</t>
        </is>
      </c>
      <c r="B28" s="29" t="inlineStr">
        <is>
          <t>M3</t>
        </is>
      </c>
      <c r="C28" s="29" t="inlineStr">
        <is>
          <t>Tra cứu đơn hàng có xác thực và kiểm soát truy cập</t>
        </is>
      </c>
      <c r="D28" s="30" t="n">
        <v>46350</v>
      </c>
      <c r="E28" s="30" t="n">
        <v>46350</v>
      </c>
      <c r="F28" s="29" t="inlineStr">
        <is>
          <t>AM</t>
        </is>
      </c>
      <c r="G28" s="29" t="n">
        <v>1</v>
      </c>
      <c r="H28" s="29" t="inlineStr">
        <is>
          <t>Trần Đình Khương</t>
        </is>
      </c>
      <c r="I28" s="29" t="inlineStr">
        <is>
          <t>Backend</t>
        </is>
      </c>
      <c r="J28" s="29" t="inlineStr">
        <is>
          <t>Orders + auth/session</t>
        </is>
      </c>
      <c r="K28" s="29" t="inlineStr">
        <is>
          <t>Implement query_customer_order và context adapter; kiểm order ownership trước đọc; chỉ expose trường cần; tìm region/service center; hỏi lại khi thiếu hoặc không khớp. Recall chỉ lấy ticket/order history được phép của đúng customer; working context/message buffer có giới hạn; playbook/rules có version là procedural memory, không coi lời hứa cũ trong ticket là policy hiện hành.</t>
        </is>
      </c>
      <c r="L28" s="29" t="inlineStr">
        <is>
          <t>Customer context service + tool schemas + seed CRM adapter</t>
        </is>
      </c>
      <c r="M28" s="29" t="inlineStr">
        <is>
          <t>MOD-05</t>
        </is>
      </c>
      <c r="N28" s="29" t="inlineStr">
        <is>
          <t>FastAPI; PostgreSQL; typed tools; RBAC</t>
        </is>
      </c>
      <c r="O28" s="29" t="inlineStr">
        <is>
          <t>M3.1</t>
        </is>
      </c>
      <c r="P28" s="29" t="inlineStr">
        <is>
          <t>IO-06</t>
        </is>
      </c>
      <c r="Q28" s="29" t="inlineStr">
        <is>
          <t>Cross-customer access bị chặn; trạng thái unknown tách ineligible; raw PII không vào prompt/index/log.</t>
        </is>
      </c>
      <c r="R28" s="29" t="inlineStr">
        <is>
          <t>SRC-02 §3.1,7.2,14; SRC-06 §5</t>
        </is>
      </c>
      <c r="S28" s="29" t="inlineStr">
        <is>
          <t>Core</t>
        </is>
      </c>
      <c r="T28" s="29">
        <f>'WBS'!J38</f>
        <v/>
      </c>
      <c r="U28" s="29" t="inlineStr">
        <is>
          <t>Chưa có — điền đường dẫn báo cáo/commit/demo sau khi thực hiện</t>
        </is>
      </c>
    </row>
    <row r="29" ht="62.25" customHeight="1">
      <c r="A29" s="35" t="inlineStr">
        <is>
          <t>M3.3</t>
        </is>
      </c>
      <c r="B29" s="27" t="inlineStr">
        <is>
          <t>M3</t>
        </is>
      </c>
      <c r="C29" s="27" t="inlineStr">
        <is>
          <t>Policy engine xác định quyền lợi bằng rule</t>
        </is>
      </c>
      <c r="D29" s="28" t="n">
        <v>46351</v>
      </c>
      <c r="E29" s="28" t="n">
        <v>46351</v>
      </c>
      <c r="F29" s="27" t="inlineStr">
        <is>
          <t>AM</t>
        </is>
      </c>
      <c r="G29" s="27" t="n">
        <v>1</v>
      </c>
      <c r="H29" s="27" t="inlineStr">
        <is>
          <t>Trần Đình Khương</t>
        </is>
      </c>
      <c r="I29" s="27" t="inlineStr">
        <is>
          <t>Backend</t>
        </is>
      </c>
      <c r="J29" s="27" t="inlineStr">
        <is>
          <t>Approved policy rules; order context</t>
        </is>
      </c>
      <c r="K29" s="27" t="inlineStr">
        <is>
          <t>Match product/date/scope/version; evaluate eligibility; trả missing_fields, allowed/prohibited_actions; xử lý policy conflict/stale; trường hợp tiền/ngoại lệ cần người duyệt.</t>
        </is>
      </c>
      <c r="L29" s="27" t="inlineStr">
        <is>
          <t>PolicyDecision service; rule tests; evidence-linked decision log</t>
        </is>
      </c>
      <c r="M29" s="27" t="inlineStr">
        <is>
          <t>MOD-06</t>
        </is>
      </c>
      <c r="N29" s="27" t="inlineStr">
        <is>
          <t>Python decision rules; PostgreSQL; Pydantic</t>
        </is>
      </c>
      <c r="O29" s="27" t="inlineStr">
        <is>
          <t>M3.2</t>
        </is>
      </c>
      <c r="P29" s="27" t="inlineStr">
        <is>
          <t>IO-07</t>
        </is>
      </c>
      <c r="Q29" s="27" t="inlineStr">
        <is>
          <t>Không dùng LLM quyết eligibility; ranh ngày mua/expiry đúng; policy ví dụ 365 ngày chỉ dùng synthetic fixture.</t>
        </is>
      </c>
      <c r="R29" s="27" t="inlineStr">
        <is>
          <t>SRC-02 §7.8; SRC-06 §5–6</t>
        </is>
      </c>
      <c r="S29" s="27" t="inlineStr">
        <is>
          <t>Core</t>
        </is>
      </c>
      <c r="T29" s="27">
        <f>'WBS'!J39</f>
        <v/>
      </c>
      <c r="U29" s="27" t="inlineStr">
        <is>
          <t>Chưa có — điền đường dẫn báo cáo/commit/demo sau khi thực hiện</t>
        </is>
      </c>
    </row>
    <row r="30" ht="327.12" customHeight="1">
      <c r="A30" s="36" t="inlineStr">
        <is>
          <t>M3.4</t>
        </is>
      </c>
      <c r="B30" s="29" t="inlineStr">
        <is>
          <t>M3</t>
        </is>
      </c>
      <c r="C30" s="29" t="inlineStr">
        <is>
          <t>FSM resolution, MCP tools và reflection hữu hạn</t>
        </is>
      </c>
      <c r="D30" s="30" t="n">
        <v>46352</v>
      </c>
      <c r="E30" s="30" t="n">
        <v>46353</v>
      </c>
      <c r="F30" s="29" t="inlineStr">
        <is>
          <t>AM</t>
        </is>
      </c>
      <c r="G30" s="29" t="n">
        <v>1.5</v>
      </c>
      <c r="H30" s="29" t="inlineStr">
        <is>
          <t>Trần Đình Khương</t>
        </is>
      </c>
      <c r="I30" s="29" t="inlineStr">
        <is>
          <t>Backend / orchestration</t>
        </is>
      </c>
      <c r="J30" s="29" t="inlineStr">
        <is>
          <t>Chat, policy decision, tools, ticket model</t>
        </is>
      </c>
      <c r="K30" s="29" t="inlineStr">
        <is>
          <t>Ingested→context→evidence→decision→draft→guarded→pending_review→approved/rejected/escalated; giới hạn 1 lượt bổ sung evidence và timeout; lưu state/version, review ID và audit trong PostgreSQL; approval/resume kiểm quyền, chống duyệt hai lần và stale draft; MCP adapter query order/check warranty/route ticket; Pydantic inputs và allowlist. Dùng một orchestrator theo DEC-17. Planning step tạo plan có kiểu: intent, nguồn evidence cần lấy, tool allowlist, missing fields và stop condition; sau M4 ánh xạ Triaged bằng ABSA thật. Chứng minh MCP bằng client/server local qua một transport được pin, tools/list và tools/call cho ba tool canonical; adapter gọi hàm Python riêng chưa đủ nghiệm thu MCP.</t>
        </is>
      </c>
      <c r="L30" s="29" t="inlineStr">
        <is>
          <t>Resolution orchestrator; /api/v1/resolution/draft nối thật; tool integration tests</t>
        </is>
      </c>
      <c r="M30" s="29" t="inlineStr">
        <is>
          <t>MOD-01, MOD-03, MOD-05, MOD-06</t>
        </is>
      </c>
      <c r="N30" s="29" t="inlineStr">
        <is>
          <t>Python FSM; MCP SDK/adapter; FastAPI; Pydantic</t>
        </is>
      </c>
      <c r="O30" s="29" t="inlineStr">
        <is>
          <t>M3.3</t>
        </is>
      </c>
      <c r="P30" s="29" t="inlineStr">
        <is>
          <t>IO-08</t>
        </is>
      </c>
      <c r="Q30" s="29" t="inlineStr">
        <is>
          <t>Retry hoặc restart tại pending_review không mất draft và không lặp action; test approve/reject/resume, duplicate approval, stale draft, sai quyền và timeout; lỗi/thiếu evidence chuyển đúng hàng đợi; không tự xác nhận root cause; action cần approval không chạy trước duyệt. Checkpoint không thay action idempotency/transaction. Integration test MCP có input/output schema, denied tool, timeout và lỗi transport; lưu trace plan→tools→guardrails. Mapping trạng thái giữ tương ứng lifecycle SRC-05 §6.5.</t>
        </is>
      </c>
      <c r="R30" s="29" t="inlineStr">
        <is>
          <t>SRC-02 §7.9; SRC-05 L2,L5,L6</t>
        </is>
      </c>
      <c r="S30" s="29" t="inlineStr">
        <is>
          <t>Core</t>
        </is>
      </c>
      <c r="T30" s="29">
        <f>'WBS'!J40</f>
        <v/>
      </c>
      <c r="U30" s="29" t="inlineStr">
        <is>
          <t>Chưa có — điền đường dẫn báo cáo/commit/demo sau khi thực hiện</t>
        </is>
      </c>
    </row>
    <row r="31" ht="62.25" customHeight="1">
      <c r="A31" s="35" t="inlineStr">
        <is>
          <t>M3.5</t>
        </is>
      </c>
      <c r="B31" s="27" t="inlineStr">
        <is>
          <t>M3</t>
        </is>
      </c>
      <c r="C31" s="27" t="inlineStr">
        <is>
          <t>Agent Workspace: context, evidence và review</t>
        </is>
      </c>
      <c r="D31" s="28" t="n">
        <v>46353</v>
      </c>
      <c r="E31" s="28" t="n">
        <v>46356</v>
      </c>
      <c r="F31" s="27" t="inlineStr">
        <is>
          <t>PM</t>
        </is>
      </c>
      <c r="G31" s="27" t="n">
        <v>1.5</v>
      </c>
      <c r="H31" s="27" t="inlineStr">
        <is>
          <t>Trần Đình Khương</t>
        </is>
      </c>
      <c r="I31" s="27" t="inlineStr">
        <is>
          <t>Frontend</t>
        </is>
      </c>
      <c r="J31" s="27" t="inlineStr">
        <is>
          <t>Ticket/draft/citation APIs</t>
        </is>
      </c>
      <c r="K31" s="27" t="inlineStr">
        <is>
          <t>Ticket list/card: order, warranty, urgency, evidence/policy dates; approve/edit/reject với reason; specialist escalation; ABSA tạm hiển thị pending/manual; hypothesis label rõ.</t>
        </is>
      </c>
      <c r="L31" s="27" t="inlineStr">
        <is>
          <t>Agent Copilot trong apps/web + review endpoints; browser flows</t>
        </is>
      </c>
      <c r="M31" s="27" t="inlineStr">
        <is>
          <t>MOD-11</t>
        </is>
      </c>
      <c r="N31" s="27" t="inlineStr">
        <is>
          <t>React; TypeScript; FastAPI; PostgreSQL</t>
        </is>
      </c>
      <c r="O31" s="27" t="inlineStr">
        <is>
          <t>M3.4</t>
        </is>
      </c>
      <c r="P31" s="27" t="inlineStr">
        <is>
          <t>IO-08, IO-09, IO-13</t>
        </is>
      </c>
      <c r="Q31" s="27" t="inlineStr">
        <is>
          <t>Agent đọc được bằng chứng trước duyệt; chỉnh sửa có tác giả/thời gian; không hiển thị hypothesis thành fact.</t>
        </is>
      </c>
      <c r="R31" s="27" t="inlineStr">
        <is>
          <t>SRC-02 §3.2; SRC-14</t>
        </is>
      </c>
      <c r="S31" s="27" t="inlineStr">
        <is>
          <t>Core</t>
        </is>
      </c>
      <c r="T31" s="27">
        <f>'WBS'!J41</f>
        <v/>
      </c>
      <c r="U31" s="27" t="inlineStr">
        <is>
          <t>Chưa có — điền đường dẫn báo cáo/commit/demo sau khi thực hiện</t>
        </is>
      </c>
    </row>
    <row r="32" ht="62.25" customHeight="1">
      <c r="A32" s="36" t="inlineStr">
        <is>
          <t>M3.6</t>
        </is>
      </c>
      <c r="B32" s="29" t="inlineStr">
        <is>
          <t>M3</t>
        </is>
      </c>
      <c r="C32" s="29" t="inlineStr">
        <is>
          <t>Lưu phản hồi cuối, outcome và business events</t>
        </is>
      </c>
      <c r="D32" s="30" t="n">
        <v>46357</v>
      </c>
      <c r="E32" s="30" t="n">
        <v>46357</v>
      </c>
      <c r="F32" s="29" t="inlineStr">
        <is>
          <t>AM</t>
        </is>
      </c>
      <c r="G32" s="29" t="n">
        <v>1</v>
      </c>
      <c r="H32" s="29" t="inlineStr">
        <is>
          <t>Trần Đình Khương</t>
        </is>
      </c>
      <c r="I32" s="29" t="inlineStr">
        <is>
          <t>Backend / Analytics</t>
        </is>
      </c>
      <c r="J32" s="29" t="inlineStr">
        <is>
          <t>Agent action + customer outcome</t>
        </is>
      </c>
      <c r="K32" s="29" t="inlineStr">
        <is>
          <t>Persist final response, sent/resolved/reopened/CSAT events và ticket owner; thu thập timestamps phục vụ FRT/AHT/MTTR/FCR; mapping complaint→ingest event cho ABSA về sau.</t>
        </is>
      </c>
      <c r="L32" s="29" t="inlineStr">
        <is>
          <t>Outcome API; audit events; metric dictionary và baseline captures</t>
        </is>
      </c>
      <c r="M32" s="29" t="inlineStr">
        <is>
          <t>MOD-06, MOD-09, MOD-11</t>
        </is>
      </c>
      <c r="N32" s="29" t="inlineStr">
        <is>
          <t>PostgreSQL; Pydantic; event log</t>
        </is>
      </c>
      <c r="O32" s="29" t="inlineStr">
        <is>
          <t>M3.5</t>
        </is>
      </c>
      <c r="P32" s="29" t="inlineStr">
        <is>
          <t>IO-09, IO-15</t>
        </is>
      </c>
      <c r="Q32" s="29" t="inlineStr">
        <is>
          <t>Một action idempotent chỉ ghi một lần; outcome thiếu hiển thị unknown; log phiên bản policy/model/evidence/human reviewer.</t>
        </is>
      </c>
      <c r="R32" s="29" t="inlineStr">
        <is>
          <t>SRC-02 §3.1–3.4,8,13.5; SRC-04</t>
        </is>
      </c>
      <c r="S32" s="29" t="inlineStr">
        <is>
          <t>Core</t>
        </is>
      </c>
      <c r="T32" s="29">
        <f>'WBS'!J42</f>
        <v/>
      </c>
      <c r="U32" s="29" t="inlineStr">
        <is>
          <t>Chưa có — điền đường dẫn báo cáo/commit/demo sau khi thực hiện</t>
        </is>
      </c>
    </row>
    <row r="33" ht="62.25" customHeight="1">
      <c r="A33" s="35" t="inlineStr">
        <is>
          <t>M3.7</t>
        </is>
      </c>
      <c r="B33" s="27" t="inlineStr">
        <is>
          <t>M3</t>
        </is>
      </c>
      <c r="C33" s="27" t="inlineStr">
        <is>
          <t>Đánh giá resolution và luồng hỗ trợ</t>
        </is>
      </c>
      <c r="D33" s="28" t="n">
        <v>46358</v>
      </c>
      <c r="E33" s="28" t="n">
        <v>46358</v>
      </c>
      <c r="F33" s="27" t="inlineStr">
        <is>
          <t>AM</t>
        </is>
      </c>
      <c r="G33" s="27" t="n">
        <v>1</v>
      </c>
      <c r="H33" s="27" t="inlineStr">
        <is>
          <t>Trần Đình Khương</t>
        </is>
      </c>
      <c r="I33" s="27" t="inlineStr">
        <is>
          <t>QA</t>
        </is>
      </c>
      <c r="J33" s="27" t="inlineStr">
        <is>
          <t>30 resolution cases giai đoạn đầu; order/privacy fixtures</t>
        </is>
      </c>
      <c r="K33" s="27" t="inlineStr">
        <is>
          <t>Test trong hạn/hết hạn/missing order/unconfirmed issue/prompt injection; approve/edit/reject/escalate; đo manual-vs-assisted cùng kịch bản; review chính sách và citation.</t>
        </is>
      </c>
      <c r="L33" s="27" t="inlineStr">
        <is>
          <t>Resolution eval v1; UAT agent/buyer; baseline report</t>
        </is>
      </c>
      <c r="M33" s="27" t="inlineStr">
        <is>
          <t>MOD-03, MOD-05, MOD-06, MOD-11</t>
        </is>
      </c>
      <c r="N33" s="27" t="inlineStr">
        <is>
          <t>pytest; browser tests; JSONL rubric</t>
        </is>
      </c>
      <c r="O33" s="27" t="inlineStr">
        <is>
          <t>M3.6</t>
        </is>
      </c>
      <c r="P33" s="27" t="inlineStr">
        <is>
          <t>IO-14</t>
        </is>
      </c>
      <c r="Q33" s="27" t="inlineStr">
        <is>
          <t>0 unsupported actions trên suite; 100% policy claim có clause/version; safety issue vào priority queue; chưa tuyên bố AHT giảm 40% từ dữ liệu demo.</t>
        </is>
      </c>
      <c r="R33" s="27" t="inlineStr">
        <is>
          <t>SRC-06 §6; SRC-02 BUY-AC/AG-AC; SRC-03</t>
        </is>
      </c>
      <c r="S33" s="27" t="inlineStr">
        <is>
          <t>Core</t>
        </is>
      </c>
      <c r="T33" s="27">
        <f>'WBS'!J43</f>
        <v/>
      </c>
      <c r="U33" s="27" t="inlineStr">
        <is>
          <t>Chưa có — điền đường dẫn báo cáo/commit/demo sau khi thực hiện</t>
        </is>
      </c>
    </row>
    <row r="34" ht="62.25" customHeight="1">
      <c r="A34" s="36" t="inlineStr">
        <is>
          <t>M3.8</t>
        </is>
      </c>
      <c r="B34" s="29" t="inlineStr">
        <is>
          <t>M3</t>
        </is>
      </c>
      <c r="C34" s="29" t="inlineStr">
        <is>
          <t>Cô lập công cụ và lỗi thực thi</t>
        </is>
      </c>
      <c r="D34" s="30" t="n">
        <v>46359</v>
      </c>
      <c r="E34" s="30" t="n">
        <v>46359</v>
      </c>
      <c r="F34" s="29" t="inlineStr">
        <is>
          <t>AM</t>
        </is>
      </c>
      <c r="G34" s="29" t="n">
        <v>0.5</v>
      </c>
      <c r="H34" s="29" t="inlineStr">
        <is>
          <t>Trần Đình Khương</t>
        </is>
      </c>
      <c r="I34" s="29" t="inlineStr">
        <is>
          <t>Platform / Security</t>
        </is>
      </c>
      <c r="J34" s="29" t="inlineStr">
        <is>
          <t>Tool adapters và action allowlist</t>
        </is>
      </c>
      <c r="K34" s="29" t="inlineStr">
        <is>
          <t>Thiết lập process/task timeout, restricted tool inputs, quyền tối thiểu; công cụ mô phỏng external action ghi rõ sandbox; đánh giá nhu cầu microVM như extension.</t>
        </is>
      </c>
      <c r="L34" s="29" t="inlineStr">
        <is>
          <t>Task isolation config; timeout/retry audit; microVM decision</t>
        </is>
      </c>
      <c r="M34" s="29" t="inlineStr">
        <is>
          <t>MOD-06, MOD-12</t>
        </is>
      </c>
      <c r="N34" s="29" t="inlineStr">
        <is>
          <t>Process/task isolation; Docker; MCP adapter</t>
        </is>
      </c>
      <c r="O34" s="29" t="inlineStr">
        <is>
          <t>M3.7</t>
        </is>
      </c>
      <c r="P34" s="29" t="inlineStr">
        <is>
          <t>IO-08</t>
        </is>
      </c>
      <c r="Q34" s="29" t="inlineStr">
        <is>
          <t>Không thực thi shell tự do từ LLM; side effect có token/idempotency và approval; sandbox không bị trình bày như giao dịch thật.</t>
        </is>
      </c>
      <c r="R34" s="29" t="inlineStr">
        <is>
          <t>SRC-05 L5; SRC-02 §7.9</t>
        </is>
      </c>
      <c r="S34" s="29" t="inlineStr">
        <is>
          <t>Core</t>
        </is>
      </c>
      <c r="T34" s="29">
        <f>'WBS'!J44</f>
        <v/>
      </c>
      <c r="U34" s="29" t="inlineStr">
        <is>
          <t>Chưa có — điền đường dẫn báo cáo/commit/demo sau khi thực hiện</t>
        </is>
      </c>
    </row>
    <row r="35" ht="62.25" customHeight="1">
      <c r="A35" s="35" t="inlineStr">
        <is>
          <t>M3.G</t>
        </is>
      </c>
      <c r="B35" s="27" t="inlineStr">
        <is>
          <t>M3</t>
        </is>
      </c>
      <c r="C35" s="27" t="inlineStr">
        <is>
          <t>G3 — Review, nghiệm thu và báo cáo giai đoạn</t>
        </is>
      </c>
      <c r="D35" s="28" t="n">
        <v>46359</v>
      </c>
      <c r="E35" s="28" t="n">
        <v>46359</v>
      </c>
      <c r="F35" s="27" t="inlineStr">
        <is>
          <t>PM</t>
        </is>
      </c>
      <c r="G35" s="27" t="n">
        <v>0.5</v>
      </c>
      <c r="H35" s="27" t="inlineStr">
        <is>
          <t>Trần Đình Khương</t>
        </is>
      </c>
      <c r="I35" s="27" t="inlineStr">
        <is>
          <t>QA / quản lý dự án</t>
        </is>
      </c>
      <c r="J35" s="27" t="inlineStr">
        <is>
          <t>Các đầu ra và test/eval của M3</t>
        </is>
      </c>
      <c r="K35" s="27" t="inlineStr">
        <is>
          <t>Chạy lại kịch bản nghiệm thu; đối chiếu yêu cầu; ghi PASS/FAIL/BLOCKED, số đo thực và kế hoạch sửa. Tự kiểm tra theo checklist; stakeholder xác nhận nếu có.</t>
        </is>
      </c>
      <c r="L35" s="27" t="inlineStr">
        <is>
          <t>docs/reports/milestones/m3-review.md; checklist; demo; manifest phiên bản</t>
        </is>
      </c>
      <c r="M35" s="27" t="inlineStr">
        <is>
          <t>MOD-12</t>
        </is>
      </c>
      <c r="N35" s="27" t="inlineStr">
        <is>
          <t>pytest; eval reports; Git</t>
        </is>
      </c>
      <c r="O35" s="27" t="inlineStr">
        <is>
          <t>M3.8</t>
        </is>
      </c>
      <c r="Q35" s="27" t="inlineStr">
        <is>
          <t>G3: order ownership + deterministic policy + agent review/outcome pass; restart/resume/idempotency và ba MCP tools qua protocol có evidence; điều kiện thiếu được hỏi lại; có ticket tới specialist thật trong app.</t>
        </is>
      </c>
      <c r="R35" s="27" t="inlineStr">
        <is>
          <t>SRC-02 BUY-AC-02..05; AG-AC-01..05; SRC-04</t>
        </is>
      </c>
      <c r="S35" s="27" t="inlineStr">
        <is>
          <t>Gate</t>
        </is>
      </c>
      <c r="T35" s="27">
        <f>'WBS'!J45</f>
        <v/>
      </c>
      <c r="U35" s="27" t="inlineStr">
        <is>
          <t>Chưa có — điền đường dẫn báo cáo/commit/demo sau khi thực hiện</t>
        </is>
      </c>
    </row>
    <row r="36" ht="45.75" customHeight="1">
      <c r="A36" s="36" t="inlineStr">
        <is>
          <t>M3.B</t>
        </is>
      </c>
      <c r="B36" s="29" t="inlineStr">
        <is>
          <t>M3</t>
        </is>
      </c>
      <c r="C36" s="29" t="inlineStr">
        <is>
          <t>Dự phòng sửa lỗi, tích hợp hoặc nghỉ theo lịch thực tế</t>
        </is>
      </c>
      <c r="D36" s="30" t="n">
        <v>46360</v>
      </c>
      <c r="E36" s="30" t="n">
        <v>46360</v>
      </c>
      <c r="F36" s="29" t="inlineStr">
        <is>
          <t>AM</t>
        </is>
      </c>
      <c r="G36" s="29" t="n">
        <v>1</v>
      </c>
      <c r="H36" s="29" t="inlineStr">
        <is>
          <t>Trần Đình Khương</t>
        </is>
      </c>
      <c r="I36" s="29" t="inlineStr">
        <is>
          <t>Dự phòng</t>
        </is>
      </c>
      <c r="J36" s="29" t="inlineStr">
        <is>
          <t>Blocker/failed gate hoặc ngày nghỉ đã xác nhận</t>
        </is>
      </c>
      <c r="K36" s="29" t="inlineStr">
        <is>
          <t>Ưu tiên sửa gate của giai đoạn; nếu chưa dùng thì giữ quỹ dự phòng. Không tự bổ sung tính năng.</t>
        </is>
      </c>
      <c r="L36" s="29" t="inlineStr">
        <is>
          <t>Gate được kiểm tra lại; nhật ký sử dụng dự phòng và lịch cập nhật</t>
        </is>
      </c>
      <c r="M36" s="29" t="inlineStr">
        <is>
          <t>MOD-12</t>
        </is>
      </c>
      <c r="N36" s="29" t="inlineStr">
        <is>
          <t>Issue log; regression tests</t>
        </is>
      </c>
      <c r="O36" s="29" t="inlineStr">
        <is>
          <t>RESERVE — không phải quan hệ finish-to-start</t>
        </is>
      </c>
      <c r="Q36" s="29" t="inlineStr">
        <is>
          <t>Không vượt ngày kết thúc giai đoạn; nếu vượt phải rebaseline, không đánh dấu Done khi gate fail.</t>
        </is>
      </c>
      <c r="R36" s="29" t="inlineStr">
        <is>
          <t>DEC-01; DEC-02</t>
        </is>
      </c>
      <c r="S36" s="29" t="inlineStr">
        <is>
          <t>Buffer</t>
        </is>
      </c>
      <c r="T36" s="29">
        <f>'WBS'!J46</f>
        <v/>
      </c>
      <c r="U36" s="29" t="inlineStr">
        <is>
          <t>Chưa có — điền đường dẫn báo cáo/commit/demo sau khi thực hiện</t>
        </is>
      </c>
    </row>
    <row r="37" ht="62.25" customHeight="1">
      <c r="A37" s="35" t="inlineStr">
        <is>
          <t>M4.1</t>
        </is>
      </c>
      <c r="B37" s="27" t="inlineStr">
        <is>
          <t>M4</t>
        </is>
      </c>
      <c r="C37" s="27" t="inlineStr">
        <is>
          <t>Khóa taxonomy, splits và dataset provenance</t>
        </is>
      </c>
      <c r="D37" s="28" t="n">
        <v>46363</v>
      </c>
      <c r="E37" s="28" t="n">
        <v>46363</v>
      </c>
      <c r="F37" s="27" t="inlineStr">
        <is>
          <t>AM</t>
        </is>
      </c>
      <c r="G37" s="27" t="n">
        <v>1</v>
      </c>
      <c r="H37" s="27" t="inlineStr">
        <is>
          <t>Trần Đình Khương</t>
        </is>
      </c>
      <c r="I37" s="27" t="inlineStr">
        <is>
          <t>ML / Data</t>
        </is>
      </c>
      <c r="J37" s="27" t="inlineStr">
        <is>
          <t>UIT datasets + domain records + policy quyền dữ liệu</t>
        </is>
      </c>
      <c r="K37" s="27" t="inlineStr">
        <is>
          <t>Kiểm count/split chính thức thay vì áp tỷ lệ minh họa; map 10 aspects và nhóm macro; dedup leakage; giữ test locked; xác định labels span cho ATE; bổ sung delivery/service nếu thiếu.</t>
        </is>
      </c>
      <c r="L37" s="27" t="inlineStr">
        <is>
          <t>aspect_taxonomy_v1.yaml; train/dev/test parquet + data card/manifests</t>
        </is>
      </c>
      <c r="M37" s="27" t="inlineStr">
        <is>
          <t>MOD-07</t>
        </is>
      </c>
      <c r="N37" s="27" t="inlineStr">
        <is>
          <t>Python; pandas; Parquet; schema validation</t>
        </is>
      </c>
      <c r="O37" s="27" t="inlineStr">
        <is>
          <t>M3.G</t>
        </is>
      </c>
      <c r="P37" s="27" t="inlineStr">
        <is>
          <t>IO-10, IO-14</t>
        </is>
      </c>
      <c r="Q37" s="27" t="inlineStr">
        <is>
          <t>Không trộn test vào train; thiếu span labels không báo ATE đạt; vùng domain chưa đủ mẫu ghi hạn chế.</t>
        </is>
      </c>
      <c r="R37" s="27" t="inlineStr">
        <is>
          <t>SRC-06 §3; SRC-07 ABSA; SRC-02 §7.3</t>
        </is>
      </c>
      <c r="S37" s="27" t="inlineStr">
        <is>
          <t>Core</t>
        </is>
      </c>
      <c r="T37" s="27">
        <f>'WBS'!J48</f>
        <v/>
      </c>
      <c r="U37" s="27" t="inlineStr">
        <is>
          <t>Chưa có — điền đường dẫn báo cáo/commit/demo sau khi thực hiện</t>
        </is>
      </c>
    </row>
    <row r="38" ht="62.25" customHeight="1">
      <c r="A38" s="36" t="inlineStr">
        <is>
          <t>M4.2</t>
        </is>
      </c>
      <c r="B38" s="29" t="inlineStr">
        <is>
          <t>M4</t>
        </is>
      </c>
      <c r="C38" s="29" t="inlineStr">
        <is>
          <t>ABSA baseline và evaluation harness</t>
        </is>
      </c>
      <c r="D38" s="30" t="n">
        <v>46364</v>
      </c>
      <c r="E38" s="30" t="n">
        <v>46364</v>
      </c>
      <c r="F38" s="29" t="inlineStr">
        <is>
          <t>AM</t>
        </is>
      </c>
      <c r="G38" s="29" t="n">
        <v>1</v>
      </c>
      <c r="H38" s="29" t="inlineStr">
        <is>
          <t>Trần Đình Khương</t>
        </is>
      </c>
      <c r="I38" s="29" t="inlineStr">
        <is>
          <t>ML</t>
        </is>
      </c>
      <c r="J38" s="29" t="inlineStr">
        <is>
          <t>Frozen train/dev/test + taxonomy</t>
        </is>
      </c>
      <c r="K38" s="29" t="inlineStr">
        <is>
          <t>TF-IDF + Logistic Regression cho aspect detection và sentiment theo aspect; chuẩn hóa tiếng Việt; output schema; label none/other và unsupported language; metric per-aspect/polarity.</t>
        </is>
      </c>
      <c r="L38" s="29" t="inlineStr">
        <is>
          <t>Baseline model; inference; eval scripts; confusion matrices</t>
        </is>
      </c>
      <c r="M38" s="29" t="inlineStr">
        <is>
          <t>MOD-07</t>
        </is>
      </c>
      <c r="N38" s="29" t="inlineStr">
        <is>
          <t>scikit-learn; Python; pytest</t>
        </is>
      </c>
      <c r="O38" s="29" t="inlineStr">
        <is>
          <t>M4.1</t>
        </is>
      </c>
      <c r="P38" s="29" t="inlineStr">
        <is>
          <t>IO-10</t>
        </is>
      </c>
      <c r="Q38" s="29" t="inlineStr">
        <is>
          <t>Reproducible seed; lưu model/taxonomy version; baseline và candidate dùng cùng split/metric.</t>
        </is>
      </c>
      <c r="R38" s="29" t="inlineStr">
        <is>
          <t>SRC-07 ABSA-AC-01..10; SRC-02 §13.1</t>
        </is>
      </c>
      <c r="S38" s="29" t="inlineStr">
        <is>
          <t>Core</t>
        </is>
      </c>
      <c r="T38" s="29">
        <f>'WBS'!J49</f>
        <v/>
      </c>
      <c r="U38" s="29" t="inlineStr">
        <is>
          <t>Chưa có — điền đường dẫn báo cáo/commit/demo sau khi thực hiện</t>
        </is>
      </c>
    </row>
    <row r="39" ht="62.25" customHeight="1">
      <c r="A39" s="35" t="inlineStr">
        <is>
          <t>M4.3</t>
        </is>
      </c>
      <c r="B39" s="27" t="inlineStr">
        <is>
          <t>M4</t>
        </is>
      </c>
      <c r="C39" s="27" t="inlineStr">
        <is>
          <t>Huấn luyện candidate và evidence spans</t>
        </is>
      </c>
      <c r="D39" s="28" t="n">
        <v>46365</v>
      </c>
      <c r="E39" s="28" t="n">
        <v>46366</v>
      </c>
      <c r="F39" s="27" t="inlineStr">
        <is>
          <t>AM</t>
        </is>
      </c>
      <c r="G39" s="27" t="n">
        <v>2</v>
      </c>
      <c r="H39" s="27" t="inlineStr">
        <is>
          <t>Trần Đình Khương</t>
        </is>
      </c>
      <c r="I39" s="27" t="inlineStr">
        <is>
          <t>ML</t>
        </is>
      </c>
      <c r="J39" s="27" t="inlineStr">
        <is>
          <t>Baseline, labeled splits và GPU/CPU budget</t>
        </is>
      </c>
      <c r="K39" s="27" t="inlineStr">
        <is>
          <t>Fine-tune một PhoBERT candidate có bounded run; ATE chỉ trên dữ liệu span phù hợp; calibration trên dev; slices phủ định/slang/emoji/multi-aspect; không search rộng.</t>
        </is>
      </c>
      <c r="L39" s="27" t="inlineStr">
        <is>
          <t>Candidate checkpoint; logs; calibration; span extraction report; model card</t>
        </is>
      </c>
      <c r="M39" s="27" t="inlineStr">
        <is>
          <t>MOD-07</t>
        </is>
      </c>
      <c r="N39" s="27" t="inlineStr">
        <is>
          <t>PyTorch; Transformers; PhoBERT candidate; temperature scaling</t>
        </is>
      </c>
      <c r="O39" s="27" t="inlineStr">
        <is>
          <t>M4.2</t>
        </is>
      </c>
      <c r="P39" s="27" t="inlineStr">
        <is>
          <t>IO-10, IO-15</t>
        </is>
      </c>
      <c r="Q39" s="27" t="inlineStr">
        <is>
          <t>Báo riêng aspect, polarity và span F1; confidence không tự nhận là calibrated nếu chưa đo; run manifest có dataset/code/config hashes.</t>
        </is>
      </c>
      <c r="R39" s="27" t="inlineStr">
        <is>
          <t>SRC-06 §3; SRC-07 ABSA; SRC-15</t>
        </is>
      </c>
      <c r="S39" s="27" t="inlineStr">
        <is>
          <t>Core</t>
        </is>
      </c>
      <c r="T39" s="27">
        <f>'WBS'!J50</f>
        <v/>
      </c>
      <c r="U39" s="27" t="inlineStr">
        <is>
          <t>Chưa có — điền đường dẫn báo cáo/commit/demo sau khi thực hiện</t>
        </is>
      </c>
    </row>
    <row r="40" ht="163.09" customHeight="1">
      <c r="A40" s="36" t="inlineStr">
        <is>
          <t>M4.4</t>
        </is>
      </c>
      <c r="B40" s="29" t="inlineStr">
        <is>
          <t>M4</t>
        </is>
      </c>
      <c r="C40" s="29" t="inlineStr">
        <is>
          <t>Chốt model bằng benchmark và release floor</t>
        </is>
      </c>
      <c r="D40" s="30" t="n">
        <v>46367</v>
      </c>
      <c r="E40" s="30" t="n">
        <v>46367</v>
      </c>
      <c r="F40" s="29" t="inlineStr">
        <is>
          <t>AM</t>
        </is>
      </c>
      <c r="G40" s="29" t="n">
        <v>1</v>
      </c>
      <c r="H40" s="29" t="inlineStr">
        <is>
          <t>Trần Đình Khương</t>
        </is>
      </c>
      <c r="I40" s="29" t="inlineStr">
        <is>
          <t>ML / QA</t>
        </is>
      </c>
      <c r="J40" s="29" t="inlineStr">
        <is>
          <t>Baseline/candidate predictions</t>
        </is>
      </c>
      <c r="K40" s="29" t="inlineStr">
        <is>
          <t>So Macro-F1/per-aspect/span/ECE và latency/memory; chọn model đạt floor; low-confidence (&lt;0.70 tạm đề xuất) vào review queue; giữ mô hình cũ nếu regression.</t>
        </is>
      </c>
      <c r="L40" s="29" t="inlineStr">
        <is>
          <t>ABSA comparison report; champion config; release decision</t>
        </is>
      </c>
      <c r="M40" s="29" t="inlineStr">
        <is>
          <t>MOD-07</t>
        </is>
      </c>
      <c r="N40" s="29" t="inlineStr">
        <is>
          <t>scikit-learn metrics; Python eval; model registry manifest</t>
        </is>
      </c>
      <c r="O40" s="29" t="inlineStr">
        <is>
          <t>M4.3</t>
        </is>
      </c>
      <c r="P40" s="29" t="inlineStr">
        <is>
          <t>IO-14</t>
        </is>
      </c>
      <c r="Q40" s="29" t="inlineStr">
        <is>
          <t>Demo classification floor 0.80 và critical aspect 0.75 chỉ thuộc profile demo đã khóa G0; architecture-target classification/polarity ≥0.85. Báo ATE span F1 riêng, target ≥0.85 theo SRC-05 §9.1 với định nghĩa averaging/span match khóa G0. Thiếu span labels/test → ATE NOT VALIDATED và chưa đạt đầy đủ architecture; không dùng category F1 thay ATE.</t>
        </is>
      </c>
      <c r="R40" s="29" t="inlineStr">
        <is>
          <t>SRC-06 §3.3; SRC-04; SRC-07</t>
        </is>
      </c>
      <c r="S40" s="29" t="inlineStr">
        <is>
          <t>Core</t>
        </is>
      </c>
      <c r="T40" s="29">
        <f>'WBS'!J51</f>
        <v/>
      </c>
      <c r="U40" s="29" t="inlineStr">
        <is>
          <t>Chưa có — điền đường dẫn báo cáo/commit/demo sau khi thực hiện</t>
        </is>
      </c>
    </row>
    <row r="41" ht="195.05" customHeight="1">
      <c r="A41" s="35" t="inlineStr">
        <is>
          <t>M4.5</t>
        </is>
      </c>
      <c r="B41" s="27" t="inlineStr">
        <is>
          <t>M4</t>
        </is>
      </c>
      <c r="C41" s="27" t="inlineStr">
        <is>
          <t>Ingestion, queue và batch phủ toàn corpus</t>
        </is>
      </c>
      <c r="D41" s="28" t="n">
        <v>46370</v>
      </c>
      <c r="E41" s="28" t="n">
        <v>46371</v>
      </c>
      <c r="F41" s="27" t="inlineStr">
        <is>
          <t>AM</t>
        </is>
      </c>
      <c r="G41" s="27" t="n">
        <v>1.5</v>
      </c>
      <c r="H41" s="27" t="inlineStr">
        <is>
          <t>Trần Đình Khương</t>
        </is>
      </c>
      <c r="I41" s="27" t="inlineStr">
        <is>
          <t>Backend / Data</t>
        </is>
      </c>
      <c r="J41" s="27" t="inlineStr">
        <is>
          <t>ABSA model; FeedbackRecord; review data</t>
        </is>
      </c>
      <c r="K41" s="27" t="inlineStr">
        <is>
          <t>POST ingest ghi record + outbox event trong cùng PostgreSQL transaction rồi trả 202/batch_id; mask PII trước phát event, outbox/queue chỉ chứa masked payload và authorized record refs; dispatcher retry đưa Redis Streams; dedup source+ID/event_id; worker ack sau durable prediction commit, reclaim pending sau crash và DLQ. Validate spam/empty/date/lang; infer tất cả accepted records; append predictions và enrich review index bằng job idempotent. Qdrant lỗi không làm mất prediction; replay từ SQL/outbox.</t>
        </is>
      </c>
      <c r="L41" s="27" t="inlineStr">
        <is>
          <t>Pipeline A; workers; absa_predictions; feedback_reviews index; coverage report</t>
        </is>
      </c>
      <c r="M41" s="27" t="inlineStr">
        <is>
          <t>MOD-02, MOD-04, MOD-07</t>
        </is>
      </c>
      <c r="N41" s="27" t="inlineStr">
        <is>
          <t>FastAPI; Redis Streams; PostgreSQL; Qdrant</t>
        </is>
      </c>
      <c r="O41" s="27" t="inlineStr">
        <is>
          <t>M4.4</t>
        </is>
      </c>
      <c r="P41" s="27" t="inlineStr">
        <is>
          <t>IO-03, IO-10</t>
        </is>
      </c>
      <c r="Q41" s="27" t="inlineStr">
        <is>
          <t>Không giới hạn bằng top_k; accepted=processed+pending+failed có lý do; replay không trùng; model version không overwrite. Fault injection tại sau DB commit/trước enqueue, sau publish/trước đánh dấu outbox, sau prediction commit/trước ack; không mất accepted record hoặc tăng đôi prediction.</t>
        </is>
      </c>
      <c r="R41" s="27" t="inlineStr">
        <is>
          <t>SRC-02 §5.2,7.1,8; SRC-06 §2–4; SRC-14</t>
        </is>
      </c>
      <c r="S41" s="27" t="inlineStr">
        <is>
          <t>Core</t>
        </is>
      </c>
      <c r="T41" s="27">
        <f>'WBS'!J52</f>
        <v/>
      </c>
      <c r="U41" s="27" t="inlineStr">
        <is>
          <t>Chưa có — điền đường dẫn báo cáo/commit/demo sau khi thực hiện</t>
        </is>
      </c>
    </row>
    <row r="42" ht="141.94" customHeight="1">
      <c r="A42" s="36" t="inlineStr">
        <is>
          <t>M4.6</t>
        </is>
      </c>
      <c r="B42" s="29" t="inlineStr">
        <is>
          <t>M4</t>
        </is>
      </c>
      <c r="C42" s="29" t="inlineStr">
        <is>
          <t>Semantic router, rate limit và triage API</t>
        </is>
      </c>
      <c r="D42" s="30" t="n">
        <v>46371</v>
      </c>
      <c r="E42" s="30" t="n">
        <v>46372</v>
      </c>
      <c r="F42" s="29" t="inlineStr">
        <is>
          <t>PM</t>
        </is>
      </c>
      <c r="G42" s="29" t="n">
        <v>1</v>
      </c>
      <c r="H42" s="29" t="inlineStr">
        <is>
          <t>Trần Đình Khương</t>
        </is>
      </c>
      <c r="I42" s="29" t="inlineStr">
        <is>
          <t>Backend / ML</t>
        </is>
      </c>
      <c r="J42" s="29" t="inlineStr">
        <is>
          <t>Router labels, known safety patterns, ABSA inference</t>
        </is>
      </c>
      <c r="K42" s="29" t="inlineStr">
        <is>
          <t>Seed 1,500 router texts bằng templates + kiểm thủ công mẫu; benchmark rules vs classifier; route macro_review/complaint_ticket/out_of_scope; policy_query vào nhánh chat; Redis sliding window và quota. Tái sử dụng rate limiter đã có ở M2.5; ở đây mở rộng theo route/worker, không đợi M4 mới bảo vệ chat.</t>
        </is>
      </c>
      <c r="L42" s="29" t="inlineStr">
        <is>
          <t>Router dataset/card; router service; rate limiter; /api/v1/absa/predict</t>
        </is>
      </c>
      <c r="M42" s="29" t="inlineStr">
        <is>
          <t>MOD-01, MOD-02, MOD-07, MOD-12</t>
        </is>
      </c>
      <c r="N42" s="29" t="inlineStr">
        <is>
          <t>scikit-learn/embedding classifier; Redis; FastAPI</t>
        </is>
      </c>
      <c r="O42" s="29" t="inlineStr">
        <is>
          <t>M4.5</t>
        </is>
      </c>
      <c r="P42" s="29" t="inlineStr">
        <is>
          <t>IO-03, IO-10</t>
        </is>
      </c>
      <c r="Q42" s="29" t="inlineStr">
        <is>
          <t>Synthetic scores không đại diện production; urgent complaint không bỏ qua; unsupported language phản hồi rõ; policy hỏi chung không bị loại.</t>
        </is>
      </c>
      <c r="R42" s="29" t="inlineStr">
        <is>
          <t>SRC-05 L1; SRC-06 §2.2; SRC-07 ABSA</t>
        </is>
      </c>
      <c r="S42" s="29" t="inlineStr">
        <is>
          <t>Core</t>
        </is>
      </c>
      <c r="T42" s="29">
        <f>'WBS'!J53</f>
        <v/>
      </c>
      <c r="U42" s="29" t="inlineStr">
        <is>
          <t>Chưa có — điền đường dẫn báo cáo/commit/demo sau khi thực hiện</t>
        </is>
      </c>
    </row>
    <row r="43" ht="62.25" customHeight="1">
      <c r="A43" s="35" t="inlineStr">
        <is>
          <t>M4.7</t>
        </is>
      </c>
      <c r="B43" s="27" t="inlineStr">
        <is>
          <t>M4</t>
        </is>
      </c>
      <c r="C43" s="27" t="inlineStr">
        <is>
          <t>Tích hợp triage thật vào chatbot và workspace</t>
        </is>
      </c>
      <c r="D43" s="28" t="n">
        <v>46372</v>
      </c>
      <c r="E43" s="28" t="n">
        <v>46373</v>
      </c>
      <c r="F43" s="27" t="inlineStr">
        <is>
          <t>PM</t>
        </is>
      </c>
      <c r="G43" s="27" t="n">
        <v>1</v>
      </c>
      <c r="H43" s="27" t="inlineStr">
        <is>
          <t>Trần Đình Khương</t>
        </is>
      </c>
      <c r="I43" s="27" t="inlineStr">
        <is>
          <t>Full-stack / QA</t>
        </is>
      </c>
      <c r="J43" s="27" t="inlineStr">
        <is>
          <t>ABSA + router + Agent Workspace</t>
        </is>
      </c>
      <c r="K43" s="27" t="inlineStr">
        <is>
          <t>Gắn aspect/sentiment/entities/urgency/confidence lên ticket; agent sửa nhãn; fail inference vẫn có fallback; capture corrections có author/version; validate PII xuyên pipeline.</t>
        </is>
      </c>
      <c r="L43" s="27" t="inlineStr">
        <is>
          <t>Ticket triage v1; correction endpoint; buyer/agent regression</t>
        </is>
      </c>
      <c r="M43" s="27" t="inlineStr">
        <is>
          <t>MOD-01, MOD-07, MOD-11</t>
        </is>
      </c>
      <c r="N43" s="27" t="inlineStr">
        <is>
          <t>FastAPI; React; PostgreSQL; pytest</t>
        </is>
      </c>
      <c r="O43" s="27" t="inlineStr">
        <is>
          <t>M4.6</t>
        </is>
      </c>
      <c r="P43" s="27" t="inlineStr">
        <is>
          <t>IO-10, IO-13</t>
        </is>
      </c>
      <c r="Q43" s="27" t="inlineStr">
        <is>
          <t>BUY-AC-01 có model version; human correction không tự ghi đè prediction; không chặn chat vì batch job chậm.</t>
        </is>
      </c>
      <c r="R43" s="27" t="inlineStr">
        <is>
          <t>SRC-02 §3.1–3.2,7.10; SRC-04</t>
        </is>
      </c>
      <c r="S43" s="27" t="inlineStr">
        <is>
          <t>Core</t>
        </is>
      </c>
      <c r="T43" s="27">
        <f>'WBS'!J54</f>
        <v/>
      </c>
      <c r="U43" s="27" t="inlineStr">
        <is>
          <t>Chưa có — điền đường dẫn báo cáo/commit/demo sau khi thực hiện</t>
        </is>
      </c>
    </row>
    <row r="44" ht="128.31" customHeight="1">
      <c r="A44" s="36" t="inlineStr">
        <is>
          <t>M4.G</t>
        </is>
      </c>
      <c r="B44" s="29" t="inlineStr">
        <is>
          <t>M4</t>
        </is>
      </c>
      <c r="C44" s="29" t="inlineStr">
        <is>
          <t>G4 — Review, nghiệm thu và báo cáo giai đoạn</t>
        </is>
      </c>
      <c r="D44" s="30" t="n">
        <v>46373</v>
      </c>
      <c r="E44" s="30" t="n">
        <v>46373</v>
      </c>
      <c r="F44" s="29" t="inlineStr">
        <is>
          <t>PM</t>
        </is>
      </c>
      <c r="G44" s="29" t="n">
        <v>0.5</v>
      </c>
      <c r="H44" s="29" t="inlineStr">
        <is>
          <t>Trần Đình Khương</t>
        </is>
      </c>
      <c r="I44" s="29" t="inlineStr">
        <is>
          <t>QA / quản lý dự án</t>
        </is>
      </c>
      <c r="J44" s="29" t="inlineStr">
        <is>
          <t>Các đầu ra và test/eval của M4</t>
        </is>
      </c>
      <c r="K44" s="29" t="inlineStr">
        <is>
          <t>Chạy lại kịch bản nghiệm thu; đối chiếu yêu cầu; ghi PASS/FAIL/BLOCKED, số đo thực và kế hoạch sửa. Tự kiểm tra theo checklist; stakeholder xác nhận nếu có.</t>
        </is>
      </c>
      <c r="L44" s="29" t="inlineStr">
        <is>
          <t>docs/reports/milestones/m4-review.md; checklist; demo; manifest phiên bản</t>
        </is>
      </c>
      <c r="M44" s="29" t="inlineStr">
        <is>
          <t>MOD-12</t>
        </is>
      </c>
      <c r="N44" s="29" t="inlineStr">
        <is>
          <t>pytest; eval reports; Git</t>
        </is>
      </c>
      <c r="O44" s="29" t="inlineStr">
        <is>
          <t>M4.7</t>
        </is>
      </c>
      <c r="Q44" s="29" t="inlineStr">
        <is>
          <t>G4: accepted=processed+pending+failed với lý do; coverage inference báo processed/accepted riêng; outbox/retry/ack fault tests pass; triage/corrections hoạt động. Demo gate và architecture-target ABSA/ATE báo riêng theo DEC-18; thiếu ATE không thành full architecture PASS.</t>
        </is>
      </c>
      <c r="R44" s="29" t="inlineStr">
        <is>
          <t>SRC-04; SRC-06 §3; SRC-07 ABSA</t>
        </is>
      </c>
      <c r="S44" s="29" t="inlineStr">
        <is>
          <t>Gate</t>
        </is>
      </c>
      <c r="T44" s="29">
        <f>'WBS'!J55</f>
        <v/>
      </c>
      <c r="U44" s="29" t="inlineStr">
        <is>
          <t>Chưa có — điền đường dẫn báo cáo/commit/demo sau khi thực hiện</t>
        </is>
      </c>
    </row>
    <row r="45" ht="45.75" customHeight="1">
      <c r="A45" s="35" t="inlineStr">
        <is>
          <t>M4.B</t>
        </is>
      </c>
      <c r="B45" s="27" t="inlineStr">
        <is>
          <t>M4</t>
        </is>
      </c>
      <c r="C45" s="27" t="inlineStr">
        <is>
          <t>Dự phòng sửa lỗi, tích hợp hoặc nghỉ theo lịch thực tế</t>
        </is>
      </c>
      <c r="D45" s="28" t="n">
        <v>46374</v>
      </c>
      <c r="E45" s="28" t="n">
        <v>46374</v>
      </c>
      <c r="F45" s="27" t="inlineStr">
        <is>
          <t>AM</t>
        </is>
      </c>
      <c r="G45" s="27" t="n">
        <v>1</v>
      </c>
      <c r="H45" s="27" t="inlineStr">
        <is>
          <t>Trần Đình Khương</t>
        </is>
      </c>
      <c r="I45" s="27" t="inlineStr">
        <is>
          <t>Dự phòng</t>
        </is>
      </c>
      <c r="J45" s="27" t="inlineStr">
        <is>
          <t>Blocker/failed gate hoặc ngày nghỉ đã xác nhận</t>
        </is>
      </c>
      <c r="K45" s="27" t="inlineStr">
        <is>
          <t>Ưu tiên sửa gate của giai đoạn; nếu chưa dùng thì giữ quỹ dự phòng. Không tự bổ sung tính năng.</t>
        </is>
      </c>
      <c r="L45" s="27" t="inlineStr">
        <is>
          <t>Gate được kiểm tra lại; nhật ký sử dụng dự phòng và lịch cập nhật</t>
        </is>
      </c>
      <c r="M45" s="27" t="inlineStr">
        <is>
          <t>MOD-12</t>
        </is>
      </c>
      <c r="N45" s="27" t="inlineStr">
        <is>
          <t>Issue log; regression tests</t>
        </is>
      </c>
      <c r="O45" s="27" t="inlineStr">
        <is>
          <t>RESERVE — không phải quan hệ finish-to-start</t>
        </is>
      </c>
      <c r="Q45" s="27" t="inlineStr">
        <is>
          <t>Không vượt ngày kết thúc giai đoạn; nếu vượt phải rebaseline, không đánh dấu Done khi gate fail.</t>
        </is>
      </c>
      <c r="R45" s="27" t="inlineStr">
        <is>
          <t>DEC-01; DEC-02</t>
        </is>
      </c>
      <c r="S45" s="27" t="inlineStr">
        <is>
          <t>Buffer</t>
        </is>
      </c>
      <c r="T45" s="27">
        <f>'WBS'!J56</f>
        <v/>
      </c>
      <c r="U45" s="27" t="inlineStr">
        <is>
          <t>Chưa có — điền đường dẫn báo cáo/commit/demo sau khi thực hiện</t>
        </is>
      </c>
    </row>
    <row r="46" ht="62.25" customHeight="1">
      <c r="A46" s="36" t="inlineStr">
        <is>
          <t>M5.1</t>
        </is>
      </c>
      <c r="B46" s="29" t="inlineStr">
        <is>
          <t>M5</t>
        </is>
      </c>
      <c r="C46" s="29" t="inlineStr">
        <is>
          <t>Metrics SQL, lineage và cảnh báo</t>
        </is>
      </c>
      <c r="D46" s="30" t="n">
        <v>46377</v>
      </c>
      <c r="E46" s="30" t="n">
        <v>46377</v>
      </c>
      <c r="F46" s="29" t="inlineStr">
        <is>
          <t>AM</t>
        </is>
      </c>
      <c r="G46" s="29" t="n">
        <v>1</v>
      </c>
      <c r="H46" s="29" t="inlineStr">
        <is>
          <t>Trần Đình Khương</t>
        </is>
      </c>
      <c r="I46" s="29" t="inlineStr">
        <is>
          <t>Backend / Analytics</t>
        </is>
      </c>
      <c r="J46" s="29" t="inlineStr">
        <is>
          <t>Predictions/version + outcomes/timestamps</t>
        </is>
      </c>
      <c r="K46" s="29" t="inlineStr">
        <is>
          <t>Tính aspect mention/negative ratio, WoW, product/version/channel cohorts; chọn model snapshot; denominator rõ; cảnh báo min-sample + baseline; ghi freshness và unknown outcomes.</t>
        </is>
      </c>
      <c r="L46" s="29" t="inlineStr">
        <is>
          <t>Aggregate APIs; metric lineage; scheduled anomaly jobs</t>
        </is>
      </c>
      <c r="M46" s="29" t="inlineStr">
        <is>
          <t>MOD-09</t>
        </is>
      </c>
      <c r="N46" s="29" t="inlineStr">
        <is>
          <t>PostgreSQL SQL/materialized views; worker jobs</t>
        </is>
      </c>
      <c r="O46" s="29" t="inlineStr">
        <is>
          <t>M4.G</t>
        </is>
      </c>
      <c r="P46" s="29" t="inlineStr">
        <is>
          <t>IO-11</t>
        </is>
      </c>
      <c r="Q46" s="29" t="inlineStr">
        <is>
          <t>Aggregate khớp kiểm đếm corpus; không double count model versions; zero denominator trả no-data; không ngụy tạo real-time.</t>
        </is>
      </c>
      <c r="R46" s="29" t="inlineStr">
        <is>
          <t>SRC-02 §7.4,13.5; SRC-04; SRC-14</t>
        </is>
      </c>
      <c r="S46" s="29" t="inlineStr">
        <is>
          <t>Core</t>
        </is>
      </c>
      <c r="T46" s="29">
        <f>'WBS'!J58</f>
        <v/>
      </c>
      <c r="U46" s="29" t="inlineStr">
        <is>
          <t>Chưa có — điền đường dẫn báo cáo/commit/demo sau khi thực hiện</t>
        </is>
      </c>
    </row>
    <row r="47" ht="45.75" customHeight="1">
      <c r="A47" s="35" t="inlineStr">
        <is>
          <t>M5.2</t>
        </is>
      </c>
      <c r="B47" s="27" t="inlineStr">
        <is>
          <t>M5</t>
        </is>
      </c>
      <c r="C47" s="27" t="inlineStr">
        <is>
          <t>Dashboard Analyst/PM và business outcomes</t>
        </is>
      </c>
      <c r="D47" s="28" t="n">
        <v>46378</v>
      </c>
      <c r="E47" s="28" t="n">
        <v>46378</v>
      </c>
      <c r="F47" s="27" t="inlineStr">
        <is>
          <t>AM</t>
        </is>
      </c>
      <c r="G47" s="27" t="n">
        <v>1</v>
      </c>
      <c r="H47" s="27" t="inlineStr">
        <is>
          <t>Trần Đình Khương</t>
        </is>
      </c>
      <c r="I47" s="27" t="inlineStr">
        <is>
          <t>Frontend</t>
        </is>
      </c>
      <c r="J47" s="27" t="inlineStr">
        <is>
          <t>Aggregate APIs và metric dictionary</t>
        </is>
      </c>
      <c r="K47" s="27" t="inlineStr">
        <is>
          <t>Chart distribution/trend theo SKU/firmware/time/channel; population, freshness, FRT/AHT/MTTR/FCR/CSAT/cost/reopen; trạng thái no-data; phân quyền PII.</t>
        </is>
      </c>
      <c r="L47" s="27" t="inlineStr">
        <is>
          <t>apps/analyst_dashboard với bộ lọc và outcome view</t>
        </is>
      </c>
      <c r="M47" s="27" t="inlineStr">
        <is>
          <t>MOD-10</t>
        </is>
      </c>
      <c r="N47" s="27" t="inlineStr">
        <is>
          <t>React; TypeScript; chart component; FastAPI</t>
        </is>
      </c>
      <c r="O47" s="27" t="inlineStr">
        <is>
          <t>M5.1</t>
        </is>
      </c>
      <c r="P47" s="27" t="inlineStr">
        <is>
          <t>IO-11</t>
        </is>
      </c>
      <c r="Q47" s="27" t="inlineStr">
        <is>
          <t>Có population và dữ liệu nguồn; các KPI chưa có baseline/mẫu đủ phải hiện chưa đủ dữ liệu.</t>
        </is>
      </c>
      <c r="R47" s="27" t="inlineStr">
        <is>
          <t>SRC-02 §3.3–3.4; SRC-14; SRC-03 US-PM-01</t>
        </is>
      </c>
      <c r="S47" s="27" t="inlineStr">
        <is>
          <t>Core</t>
        </is>
      </c>
      <c r="T47" s="27">
        <f>'WBS'!J59</f>
        <v/>
      </c>
      <c r="U47" s="27" t="inlineStr">
        <is>
          <t>Chưa có — điền đường dẫn báo cáo/commit/demo sau khi thực hiện</t>
        </is>
      </c>
    </row>
    <row r="48" ht="62.25" customHeight="1">
      <c r="A48" s="36" t="inlineStr">
        <is>
          <t>M5.3</t>
        </is>
      </c>
      <c r="B48" s="29" t="inlineStr">
        <is>
          <t>M5</t>
        </is>
      </c>
      <c r="C48" s="29" t="inlineStr">
        <is>
          <t>Drill-down có cohort, diversity và benchmark</t>
        </is>
      </c>
      <c r="D48" s="30" t="n">
        <v>46379</v>
      </c>
      <c r="E48" s="30" t="n">
        <v>46379</v>
      </c>
      <c r="F48" s="29" t="inlineStr">
        <is>
          <t>AM</t>
        </is>
      </c>
      <c r="G48" s="29" t="n">
        <v>1</v>
      </c>
      <c r="H48" s="29" t="inlineStr">
        <is>
          <t>Trần Đình Khương</t>
        </is>
      </c>
      <c r="I48" s="29" t="inlineStr">
        <is>
          <t>Backend / ML</t>
        </is>
      </c>
      <c r="J48" s="29" t="inlineStr">
        <is>
          <t>Dashboard context + feedback index</t>
        </is>
      </c>
      <c r="K48" s="29" t="inlineStr">
        <is>
          <t>Mở rộng InvestigationDrilldownRequest query/filters/date range; lấy 5–10 cases đa dạng, giữ product/aspect-polarity cặp đúng; thêm 40 golden review queries; benchmark 4 retrieval modes trên domain mới.</t>
        </is>
      </c>
      <c r="L48" s="29" t="inlineStr">
        <is>
          <t>Investigation API/UI; evidence pack; review retrieval report; tổng 80 golden queries</t>
        </is>
      </c>
      <c r="M48" s="29" t="inlineStr">
        <is>
          <t>MOD-04, MOD-10</t>
        </is>
      </c>
      <c r="N48" s="29" t="inlineStr">
        <is>
          <t>Qdrant payload/nested filters; RRF; BGE adapter; FastAPI</t>
        </is>
      </c>
      <c r="O48" s="29" t="inlineStr">
        <is>
          <t>M5.2</t>
        </is>
      </c>
      <c r="P48" s="29" t="inlineStr">
        <is>
          <t>IO-05, IO-12</t>
        </is>
      </c>
      <c r="Q48" s="29" t="inlineStr">
        <is>
          <t>Filters không rơi khi click; nguồn/timestamp hợp lệ; không nhầm battery-positive với delivery-negative trong cùng review.</t>
        </is>
      </c>
      <c r="R48" s="29" t="inlineStr">
        <is>
          <t>SRC-02 AN-AC-01..03; SRC-06 §4; SRC-07 Retrieval</t>
        </is>
      </c>
      <c r="S48" s="29" t="inlineStr">
        <is>
          <t>Core</t>
        </is>
      </c>
      <c r="T48" s="29">
        <f>'WBS'!J60</f>
        <v/>
      </c>
      <c r="U48" s="29" t="inlineStr">
        <is>
          <t>Chưa có — điền đường dẫn báo cáo/commit/demo sau khi thực hiện</t>
        </is>
      </c>
    </row>
    <row r="49" ht="45.75" customHeight="1">
      <c r="A49" s="35" t="inlineStr">
        <is>
          <t>M5.4</t>
        </is>
      </c>
      <c r="B49" s="27" t="inlineStr">
        <is>
          <t>M5</t>
        </is>
      </c>
      <c r="C49" s="27" t="inlineStr">
        <is>
          <t>Kiểm nghiệm dashboard và cảnh báo</t>
        </is>
      </c>
      <c r="D49" s="28" t="n">
        <v>46380</v>
      </c>
      <c r="E49" s="28" t="n">
        <v>46380</v>
      </c>
      <c r="F49" s="27" t="inlineStr">
        <is>
          <t>AM</t>
        </is>
      </c>
      <c r="G49" s="27" t="n">
        <v>0.5</v>
      </c>
      <c r="H49" s="27" t="inlineStr">
        <is>
          <t>Trần Đình Khương</t>
        </is>
      </c>
      <c r="I49" s="27" t="inlineStr">
        <is>
          <t>QA</t>
        </is>
      </c>
      <c r="J49" s="27" t="inlineStr">
        <is>
          <t>Synthetic spike cohort + real ingested snapshot</t>
        </is>
      </c>
      <c r="K49" s="27" t="inlineStr">
        <is>
          <t>So SQL với tính độc lập; replay timestamp/timezone; test empty cohort; đo alert precision trên labeled synthetic scenarios và ghi giới hạn.</t>
        </is>
      </c>
      <c r="L49" s="27" t="inlineStr">
        <is>
          <t>Analytics/drill-down test report; anomaly evaluation</t>
        </is>
      </c>
      <c r="M49" s="27" t="inlineStr">
        <is>
          <t>MOD-09, MOD-10</t>
        </is>
      </c>
      <c r="N49" s="27" t="inlineStr">
        <is>
          <t>pytest; SQL; browser tests</t>
        </is>
      </c>
      <c r="O49" s="27" t="inlineStr">
        <is>
          <t>M5.3</t>
        </is>
      </c>
      <c r="P49" s="27" t="inlineStr">
        <is>
          <t>IO-14</t>
        </is>
      </c>
      <c r="Q49" s="27" t="inlineStr">
        <is>
          <t>Coverage 100% eligible ingested records; source/model lineage; alert KPI là mục tiêu, không claim production từ synthetic.</t>
        </is>
      </c>
      <c r="R49" s="27" t="inlineStr">
        <is>
          <t>SRC-04; SRC-05 §4; SRC-07 NFR</t>
        </is>
      </c>
      <c r="S49" s="27" t="inlineStr">
        <is>
          <t>Core</t>
        </is>
      </c>
      <c r="T49" s="27">
        <f>'WBS'!J61</f>
        <v/>
      </c>
      <c r="U49" s="27" t="inlineStr">
        <is>
          <t>Chưa có — điền đường dẫn báo cáo/commit/demo sau khi thực hiện</t>
        </is>
      </c>
    </row>
    <row r="50" ht="62.25" customHeight="1">
      <c r="A50" s="36" t="inlineStr">
        <is>
          <t>M5.G</t>
        </is>
      </c>
      <c r="B50" s="29" t="inlineStr">
        <is>
          <t>M5</t>
        </is>
      </c>
      <c r="C50" s="29" t="inlineStr">
        <is>
          <t>G5 — Review, nghiệm thu và báo cáo giai đoạn</t>
        </is>
      </c>
      <c r="D50" s="30" t="n">
        <v>46380</v>
      </c>
      <c r="E50" s="30" t="n">
        <v>46380</v>
      </c>
      <c r="F50" s="29" t="inlineStr">
        <is>
          <t>PM</t>
        </is>
      </c>
      <c r="G50" s="29" t="n">
        <v>0.5</v>
      </c>
      <c r="H50" s="29" t="inlineStr">
        <is>
          <t>Trần Đình Khương</t>
        </is>
      </c>
      <c r="I50" s="29" t="inlineStr">
        <is>
          <t>QA / quản lý dự án</t>
        </is>
      </c>
      <c r="J50" s="29" t="inlineStr">
        <is>
          <t>Các đầu ra và test/eval của M5</t>
        </is>
      </c>
      <c r="K50" s="29" t="inlineStr">
        <is>
          <t>Chạy lại kịch bản nghiệm thu; đối chiếu yêu cầu; ghi PASS/FAIL/BLOCKED, số đo thực và kế hoạch sửa. Tự kiểm tra theo checklist; stakeholder xác nhận nếu có.</t>
        </is>
      </c>
      <c r="L50" s="29" t="inlineStr">
        <is>
          <t>docs/reports/milestones/m5-review.md; checklist; demo; manifest phiên bản</t>
        </is>
      </c>
      <c r="M50" s="29" t="inlineStr">
        <is>
          <t>MOD-12</t>
        </is>
      </c>
      <c r="N50" s="29" t="inlineStr">
        <is>
          <t>pytest; eval reports; Git</t>
        </is>
      </c>
      <c r="O50" s="29" t="inlineStr">
        <is>
          <t>M5.4</t>
        </is>
      </c>
      <c r="Q50" s="29" t="inlineStr">
        <is>
          <t>G5: dashboard từ corpus đầy đủ → filtered evidence có thể tái lập; số liệu không lấy từ mock; có freshness và denominator.</t>
        </is>
      </c>
      <c r="R50" s="29" t="inlineStr">
        <is>
          <t>SRC-02 AN-AC-01..03; SRC-03 US-PM-01</t>
        </is>
      </c>
      <c r="S50" s="29" t="inlineStr">
        <is>
          <t>Gate</t>
        </is>
      </c>
      <c r="T50" s="29">
        <f>'WBS'!J62</f>
        <v/>
      </c>
      <c r="U50" s="29" t="inlineStr">
        <is>
          <t>Chưa có — điền đường dẫn báo cáo/commit/demo sau khi thực hiện</t>
        </is>
      </c>
    </row>
    <row r="51" ht="45.75" customHeight="1">
      <c r="A51" s="35" t="inlineStr">
        <is>
          <t>M5.B</t>
        </is>
      </c>
      <c r="B51" s="27" t="inlineStr">
        <is>
          <t>M5</t>
        </is>
      </c>
      <c r="C51" s="27" t="inlineStr">
        <is>
          <t>Dự phòng sửa lỗi, tích hợp hoặc nghỉ theo lịch thực tế</t>
        </is>
      </c>
      <c r="D51" s="28" t="n">
        <v>46381</v>
      </c>
      <c r="E51" s="28" t="n">
        <v>46381</v>
      </c>
      <c r="F51" s="27" t="inlineStr">
        <is>
          <t>AM</t>
        </is>
      </c>
      <c r="G51" s="27" t="n">
        <v>1</v>
      </c>
      <c r="H51" s="27" t="inlineStr">
        <is>
          <t>Trần Đình Khương</t>
        </is>
      </c>
      <c r="I51" s="27" t="inlineStr">
        <is>
          <t>Dự phòng</t>
        </is>
      </c>
      <c r="J51" s="27" t="inlineStr">
        <is>
          <t>Blocker/failed gate hoặc ngày nghỉ đã xác nhận</t>
        </is>
      </c>
      <c r="K51" s="27" t="inlineStr">
        <is>
          <t>Ưu tiên sửa gate của giai đoạn; nếu chưa dùng thì giữ quỹ dự phòng. Không tự bổ sung tính năng.</t>
        </is>
      </c>
      <c r="L51" s="27" t="inlineStr">
        <is>
          <t>Gate được kiểm tra lại; nhật ký sử dụng dự phòng và lịch cập nhật</t>
        </is>
      </c>
      <c r="M51" s="27" t="inlineStr">
        <is>
          <t>MOD-12</t>
        </is>
      </c>
      <c r="N51" s="27" t="inlineStr">
        <is>
          <t>Issue log; regression tests</t>
        </is>
      </c>
      <c r="O51" s="27" t="inlineStr">
        <is>
          <t>RESERVE — không phải quan hệ finish-to-start</t>
        </is>
      </c>
      <c r="Q51" s="27" t="inlineStr">
        <is>
          <t>Không vượt ngày kết thúc giai đoạn; nếu vượt phải rebaseline, không đánh dấu Done khi gate fail.</t>
        </is>
      </c>
      <c r="R51" s="27" t="inlineStr">
        <is>
          <t>DEC-01; DEC-02</t>
        </is>
      </c>
      <c r="S51" s="27" t="inlineStr">
        <is>
          <t>Buffer</t>
        </is>
      </c>
      <c r="T51" s="27">
        <f>'WBS'!J63</f>
        <v/>
      </c>
      <c r="U51" s="27" t="inlineStr">
        <is>
          <t>Chưa có — điền đường dẫn báo cáo/commit/demo sau khi thực hiện</t>
        </is>
      </c>
    </row>
    <row r="52" ht="62.25" customHeight="1">
      <c r="A52" s="36" t="inlineStr">
        <is>
          <t>M6.1</t>
        </is>
      </c>
      <c r="B52" s="29" t="inlineStr">
        <is>
          <t>M6</t>
        </is>
      </c>
      <c r="C52" s="29" t="inlineStr">
        <is>
          <t>Thống nhất ontology, IDs và lifecycle</t>
        </is>
      </c>
      <c r="D52" s="30" t="n">
        <v>46384</v>
      </c>
      <c r="E52" s="30" t="n">
        <v>46384</v>
      </c>
      <c r="F52" s="29" t="inlineStr">
        <is>
          <t>AM</t>
        </is>
      </c>
      <c r="G52" s="29" t="n">
        <v>1</v>
      </c>
      <c r="H52" s="29" t="inlineStr">
        <is>
          <t>Trần Đình Khương</t>
        </is>
      </c>
      <c r="I52" s="29" t="inlineStr">
        <is>
          <t>Data / kiến trúc</t>
        </is>
      </c>
      <c r="J52" s="29" t="inlineStr">
        <is>
          <t>Blueprint §7.6 + ontology-schema + data spec</t>
        </is>
      </c>
      <c r="K52" s="29" t="inlineStr">
        <is>
          <t>ADR dùng Issue làm trung tâm; giữ ProductVersion/Firmware/Symptom/RootCause/Policy/Resolution/Evidence/Team/ServiceCenter; map schema rút gọn; tách trạng thái issue và cause; schema validation.</t>
        </is>
      </c>
      <c r="L52" s="29" t="inlineStr">
        <is>
          <t>Ontology v1 + migration mapping + lifecycle transition rules</t>
        </is>
      </c>
      <c r="M52" s="29" t="inlineStr">
        <is>
          <t>MOD-08</t>
        </is>
      </c>
      <c r="N52" s="29" t="inlineStr">
        <is>
          <t>Neo4j schema; Pydantic; Cypher</t>
        </is>
      </c>
      <c r="O52" s="29" t="inlineStr">
        <is>
          <t>M5.G</t>
        </is>
      </c>
      <c r="P52" s="29" t="inlineStr">
        <is>
          <t>IO-12</t>
        </is>
      </c>
      <c r="Q52" s="29" t="inlineStr">
        <is>
          <t>version_id duy nhất theo product+hw+fw; LLM không được confirm cause; tài liệu canonical và alias nhất quán.</t>
        </is>
      </c>
      <c r="R52" s="29" t="inlineStr">
        <is>
          <t>SRC-02 §7.6; SRC-08; SRC-06 §5; DEC-06</t>
        </is>
      </c>
      <c r="S52" s="29" t="inlineStr">
        <is>
          <t>Core</t>
        </is>
      </c>
      <c r="T52" s="29">
        <f>'WBS'!J65</f>
        <v/>
      </c>
      <c r="U52" s="29" t="inlineStr">
        <is>
          <t>Chưa có — điền đường dẫn báo cáo/commit/demo sau khi thực hiện</t>
        </is>
      </c>
    </row>
    <row r="53" ht="62.25" customHeight="1">
      <c r="A53" s="35" t="inlineStr">
        <is>
          <t>M6.2</t>
        </is>
      </c>
      <c r="B53" s="27" t="inlineStr">
        <is>
          <t>M6</t>
        </is>
      </c>
      <c r="C53" s="27" t="inlineStr">
        <is>
          <t>Seed và đồng bộ graph có provenance</t>
        </is>
      </c>
      <c r="D53" s="28" t="n">
        <v>46385</v>
      </c>
      <c r="E53" s="28" t="n">
        <v>46385</v>
      </c>
      <c r="F53" s="27" t="inlineStr">
        <is>
          <t>AM</t>
        </is>
      </c>
      <c r="G53" s="27" t="n">
        <v>1</v>
      </c>
      <c r="H53" s="27" t="inlineStr">
        <is>
          <t>Trần Đình Khương</t>
        </is>
      </c>
      <c r="I53" s="27" t="inlineStr">
        <is>
          <t>Data / Backend</t>
        </is>
      </c>
      <c r="J53" s="27" t="inlineStr">
        <is>
          <t>Canonical ontology, product/policy data, curated evidence</t>
        </is>
      </c>
      <c r="K53" s="27" t="inlineStr">
        <is>
          <t>Seed ~15 symptoms/10 causes/10 resolutions/5 centers; có hypothesis và confirmed; constraints, orphan/duplicate checks; sync idempotent từ registry/evidence; publish version manifest.</t>
        </is>
      </c>
      <c r="L53" s="27" t="inlineStr">
        <is>
          <t>neo4j_ontology_seed.json; graph_sync; graph contracts</t>
        </is>
      </c>
      <c r="M53" s="27" t="inlineStr">
        <is>
          <t>MOD-08</t>
        </is>
      </c>
      <c r="N53" s="27" t="inlineStr">
        <is>
          <t>Neo4j; Cypher; Python driver; PostgreSQL</t>
        </is>
      </c>
      <c r="O53" s="27" t="inlineStr">
        <is>
          <t>M6.1</t>
        </is>
      </c>
      <c r="P53" s="27" t="inlineStr">
        <is>
          <t>IO-12</t>
        </is>
      </c>
      <c r="Q53" s="27" t="inlineStr">
        <is>
          <t>Mọi cause confirmed có evidence/approver; sample firmware fixes được đánh dấu demo; replay không tạo duplicate.</t>
        </is>
      </c>
      <c r="R53" s="27" t="inlineStr">
        <is>
          <t>SRC-06 §5,8; SRC-08; WEB-03</t>
        </is>
      </c>
      <c r="S53" s="27" t="inlineStr">
        <is>
          <t>Core</t>
        </is>
      </c>
      <c r="T53" s="27">
        <f>'WBS'!J66</f>
        <v/>
      </c>
      <c r="U53" s="27" t="inlineStr">
        <is>
          <t>Chưa có — điền đường dẫn báo cáo/commit/demo sau khi thực hiện</t>
        </is>
      </c>
    </row>
    <row r="54" ht="62.25" customHeight="1">
      <c r="A54" s="36" t="inlineStr">
        <is>
          <t>M6.3</t>
        </is>
      </c>
      <c r="B54" s="29" t="inlineStr">
        <is>
          <t>M6</t>
        </is>
      </c>
      <c r="C54" s="29" t="inlineStr">
        <is>
          <t>Local GraphRAG và vector→entity→graph</t>
        </is>
      </c>
      <c r="D54" s="30" t="n">
        <v>46386</v>
      </c>
      <c r="E54" s="30" t="n">
        <v>46386</v>
      </c>
      <c r="F54" s="29" t="inlineStr">
        <is>
          <t>AM</t>
        </is>
      </c>
      <c r="G54" s="29" t="n">
        <v>1</v>
      </c>
      <c r="H54" s="29" t="inlineStr">
        <is>
          <t>Trần Đình Khương</t>
        </is>
      </c>
      <c r="I54" s="29" t="inlineStr">
        <is>
          <t>Backend</t>
        </is>
      </c>
      <c r="J54" s="29" t="inlineStr">
        <is>
          <t>Neo4j seed + retrieval EvidencePack</t>
        </is>
      </c>
      <c r="K54" s="29" t="inlineStr">
        <is>
          <t>Entity link theo bridge keys; traversal parameterized theo product/version; trả paths, status, evidence, approved resolution và policy; bound hops/limit/timeout.</t>
        </is>
      </c>
      <c r="L54" s="29" t="inlineStr">
        <is>
          <t>Graph retriever + GraphContext contract + query tests</t>
        </is>
      </c>
      <c r="M54" s="29" t="inlineStr">
        <is>
          <t>MOD-04, MOD-08</t>
        </is>
      </c>
      <c r="N54" s="29" t="inlineStr">
        <is>
          <t>Neo4j; Cypher; Qdrant; Python</t>
        </is>
      </c>
      <c r="O54" s="29" t="inlineStr">
        <is>
          <t>M6.2</t>
        </is>
      </c>
      <c r="P54" s="29" t="inlineStr">
        <is>
          <t>IO-05, IO-12</t>
        </is>
      </c>
      <c r="Q54" s="29" t="inlineStr">
        <is>
          <t>Hypothesis luôn gắn status; chỉ confirmed/approved dùng khẳng định; graph unavailable trả degraded và review.</t>
        </is>
      </c>
      <c r="R54" s="29" t="inlineStr">
        <is>
          <t>SRC-02 §7.7; SRC-08; SRC-06 §5–6</t>
        </is>
      </c>
      <c r="S54" s="29" t="inlineStr">
        <is>
          <t>Core</t>
        </is>
      </c>
      <c r="T54" s="29">
        <f>'WBS'!J67</f>
        <v/>
      </c>
      <c r="U54" s="29" t="inlineStr">
        <is>
          <t>Chưa có — điền đường dẫn báo cáo/commit/demo sau khi thực hiện</t>
        </is>
      </c>
    </row>
    <row r="55" ht="62.25" customHeight="1">
      <c r="A55" s="35" t="inlineStr">
        <is>
          <t>M6.4</t>
        </is>
      </c>
      <c r="B55" s="27" t="inlineStr">
        <is>
          <t>M6</t>
        </is>
      </c>
      <c r="C55" s="27" t="inlineStr">
        <is>
          <t>Nối graph vào resolution và chatbot</t>
        </is>
      </c>
      <c r="D55" s="28" t="n">
        <v>46387</v>
      </c>
      <c r="E55" s="28" t="n">
        <v>46387</v>
      </c>
      <c r="F55" s="27" t="inlineStr">
        <is>
          <t>AM</t>
        </is>
      </c>
      <c r="G55" s="27" t="n">
        <v>1</v>
      </c>
      <c r="H55" s="27" t="inlineStr">
        <is>
          <t>Trần Đình Khương</t>
        </is>
      </c>
      <c r="I55" s="27" t="inlineStr">
        <is>
          <t>Backend / LLM</t>
        </is>
      </c>
      <c r="J55" s="27" t="inlineStr">
        <is>
          <t>GraphContext + PolicyDecision + FSM</t>
        </is>
      </c>
      <c r="K55" s="27" t="inlineStr">
        <is>
          <t>Fuse review/policy/graph evidence; draft cite từng nguồn; chọn hướng dẫn đúng product/version, service center; graph confidence không thay điều kiện policy; rerun safety suite.</t>
        </is>
      </c>
      <c r="L55" s="27" t="inlineStr">
        <is>
          <t>Resolution v2 có graph citations và verified status</t>
        </is>
      </c>
      <c r="M55" s="27" t="inlineStr">
        <is>
          <t>MOD-01, MOD-03, MOD-06, MOD-08</t>
        </is>
      </c>
      <c r="N55" s="27" t="inlineStr">
        <is>
          <t>Python FSM; Pydantic; Neo4j; LLM client</t>
        </is>
      </c>
      <c r="O55" s="27" t="inlineStr">
        <is>
          <t>M6.3</t>
        </is>
      </c>
      <c r="P55" s="27" t="inlineStr">
        <is>
          <t>IO-08, IO-12</t>
        </is>
      </c>
      <c r="Q55" s="27" t="inlineStr">
        <is>
          <t>Known issue có nguồn; thiếu confirmed cause không đoán; không hứa free replacement từ text mẫu.</t>
        </is>
      </c>
      <c r="R55" s="27" t="inlineStr">
        <is>
          <t>SRC-02 BUY-AC-03..04; SRC-06 §6</t>
        </is>
      </c>
      <c r="S55" s="27" t="inlineStr">
        <is>
          <t>Core</t>
        </is>
      </c>
      <c r="T55" s="27">
        <f>'WBS'!J68</f>
        <v/>
      </c>
      <c r="U55" s="27" t="inlineStr">
        <is>
          <t>Chưa có — điền đường dẫn báo cáo/commit/demo sau khi thực hiện</t>
        </is>
      </c>
    </row>
    <row r="56" ht="45.75" customHeight="1">
      <c r="A56" s="36" t="inlineStr">
        <is>
          <t>M6.5</t>
        </is>
      </c>
      <c r="B56" s="29" t="inlineStr">
        <is>
          <t>M6</t>
        </is>
      </c>
      <c r="C56" s="29" t="inlineStr">
        <is>
          <t>Analyst investigation và issue lifecycle UI</t>
        </is>
      </c>
      <c r="D56" s="30" t="n">
        <v>46391</v>
      </c>
      <c r="E56" s="30" t="n">
        <v>46391</v>
      </c>
      <c r="F56" s="29" t="inlineStr">
        <is>
          <t>AM</t>
        </is>
      </c>
      <c r="G56" s="29" t="n">
        <v>1</v>
      </c>
      <c r="H56" s="29" t="inlineStr">
        <is>
          <t>Trần Đình Khương</t>
        </is>
      </c>
      <c r="I56" s="29" t="inlineStr">
        <is>
          <t>Frontend</t>
        </is>
      </c>
      <c r="J56" s="29" t="inlineStr">
        <is>
          <t>Graph context + dashboard filters</t>
        </is>
      </c>
      <c r="K56" s="29" t="inlineStr">
        <is>
          <t>Hiển thị paths/evidence, hypothesis vs confirmed; tạo new/duplicate issue, note và evidence; issue owner/state; PM xem resolution efficacy và recurrence.</t>
        </is>
      </c>
      <c r="L56" s="29" t="inlineStr">
        <is>
          <t>Graph explorer tối giản; analyst annotation + PM issue detail</t>
        </is>
      </c>
      <c r="M56" s="29" t="inlineStr">
        <is>
          <t>MOD-08, MOD-10</t>
        </is>
      </c>
      <c r="N56" s="29" t="inlineStr">
        <is>
          <t>React; TypeScript; FastAPI</t>
        </is>
      </c>
      <c r="O56" s="29" t="inlineStr">
        <is>
          <t>M6.4</t>
        </is>
      </c>
      <c r="P56" s="29" t="inlineStr">
        <is>
          <t>IO-12, IO-13</t>
        </is>
      </c>
      <c r="Q56" s="29" t="inlineStr">
        <is>
          <t>Annotation author/time/version đầy đủ; root-cause discovery là giả thuyết cho tới khi duyệt; policy source xem được.</t>
        </is>
      </c>
      <c r="R56" s="29" t="inlineStr">
        <is>
          <t>SRC-02 §3.3–3.4; SRC-14</t>
        </is>
      </c>
      <c r="S56" s="29" t="inlineStr">
        <is>
          <t>Core</t>
        </is>
      </c>
      <c r="T56" s="29">
        <f>'WBS'!J69</f>
        <v/>
      </c>
      <c r="U56" s="29" t="inlineStr">
        <is>
          <t>Chưa có — điền đường dẫn báo cáo/commit/demo sau khi thực hiện</t>
        </is>
      </c>
    </row>
    <row r="57" ht="103.87" customHeight="1">
      <c r="A57" s="35" t="inlineStr">
        <is>
          <t>M6.6</t>
        </is>
      </c>
      <c r="B57" s="27" t="inlineStr">
        <is>
          <t>M6</t>
        </is>
      </c>
      <c r="C57" s="27" t="inlineStr">
        <is>
          <t>Steward review, policy retirement và publish</t>
        </is>
      </c>
      <c r="D57" s="28" t="n">
        <v>46392</v>
      </c>
      <c r="E57" s="28" t="n">
        <v>46392</v>
      </c>
      <c r="F57" s="27" t="inlineStr">
        <is>
          <t>AM</t>
        </is>
      </c>
      <c r="G57" s="27" t="n">
        <v>1</v>
      </c>
      <c r="H57" s="27" t="inlineStr">
        <is>
          <t>Trần Đình Khương</t>
        </is>
      </c>
      <c r="I57" s="27" t="inlineStr">
        <is>
          <t>Full-stack</t>
        </is>
      </c>
      <c r="J57" s="27" t="inlineStr">
        <is>
          <t>Proposed mutations + role matrix</t>
        </is>
      </c>
      <c r="K57" s="27" t="inlineStr">
        <is>
          <t>UI queue approve/reject/conflict; quyền analyst/steward riêng dù demo cùng người; retire policy; chuẩn bị snapshot/version rồi publish qua release manifest; audit và rollback; sensitive updates chờ reviewer được chỉ định.</t>
        </is>
      </c>
      <c r="L57" s="27" t="inlineStr">
        <is>
          <t>Steward Queue trong apps/web + knowledge versions + approval records</t>
        </is>
      </c>
      <c r="M57" s="27" t="inlineStr">
        <is>
          <t>MOD-08, MOD-11, MOD-06</t>
        </is>
      </c>
      <c r="N57" s="27" t="inlineStr">
        <is>
          <t>FastAPI; PostgreSQL change log; Neo4j; React</t>
        </is>
      </c>
      <c r="O57" s="27" t="inlineStr">
        <is>
          <t>M6.5</t>
        </is>
      </c>
      <c r="P57" s="27" t="inlineStr">
        <is>
          <t>IO-13</t>
        </is>
      </c>
      <c r="Q57" s="27" t="inlineStr">
        <is>
          <t>Chưa approved không ảnh hưởng runtime; không silent overwrite; production reviewer độc lập cần người được ủy quyền.</t>
        </is>
      </c>
      <c r="R57" s="27" t="inlineStr">
        <is>
          <t>SRC-02 §3.5,7.10,14; SRC-05 US-STEWARD-01</t>
        </is>
      </c>
      <c r="S57" s="27" t="inlineStr">
        <is>
          <t>Core</t>
        </is>
      </c>
      <c r="T57" s="27">
        <f>'WBS'!J70</f>
        <v/>
      </c>
      <c r="U57" s="27" t="inlineStr">
        <is>
          <t>Chưa có — điền đường dẫn báo cáo/commit/demo sau khi thực hiện</t>
        </is>
      </c>
    </row>
    <row r="58" ht="195.52" customHeight="1">
      <c r="A58" s="36" t="inlineStr">
        <is>
          <t>M6.7</t>
        </is>
      </c>
      <c r="B58" s="29" t="inlineStr">
        <is>
          <t>M6</t>
        </is>
      </c>
      <c r="C58" s="29" t="inlineStr">
        <is>
          <t>Staleness, version propagation và rollback</t>
        </is>
      </c>
      <c r="D58" s="30" t="n">
        <v>46393</v>
      </c>
      <c r="E58" s="30" t="n">
        <v>46393</v>
      </c>
      <c r="F58" s="29" t="inlineStr">
        <is>
          <t>AM</t>
        </is>
      </c>
      <c r="G58" s="29" t="n">
        <v>1</v>
      </c>
      <c r="H58" s="29" t="inlineStr">
        <is>
          <t>Trần Đình Khương</t>
        </is>
      </c>
      <c r="I58" s="29" t="inlineStr">
        <is>
          <t>Backend / Platform</t>
        </is>
      </c>
      <c r="J58" s="29" t="inlineStr">
        <is>
          <t>Published graph/policy revisions + index snapshots</t>
        </is>
      </c>
      <c r="K58" s="29" t="inlineStr">
        <is>
          <t>Build policy/index/graph snapshots có version, kiểm integrity rồi chuyển active release pointer bằng một PostgreSQL transaction; mỗi request pin manifest/version và query đúng snapshot. Không giả định transaction chung PostgreSQL/Qdrant/Neo4j. Invalidate Redis, chặn policy retired ở resolver trước phát câu trả lời, retry/reconcile khi sync lỗi; rollback pointer về bộ version tương thích; giữ retention references.</t>
        </is>
      </c>
      <c r="L58" s="29" t="inlineStr">
        <is>
          <t>Knowledge publication pipeline; version rollback drill</t>
        </is>
      </c>
      <c r="M58" s="29" t="inlineStr">
        <is>
          <t>MOD-04, MOD-06, MOD-08, MOD-12</t>
        </is>
      </c>
      <c r="N58" s="29" t="inlineStr">
        <is>
          <t>PostgreSQL; Qdrant; Neo4j; Redis; manifests</t>
        </is>
      </c>
      <c r="O58" s="29" t="inlineStr">
        <is>
          <t>M6.6</t>
        </is>
      </c>
      <c r="P58" s="29" t="inlineStr">
        <is>
          <t>IO-15</t>
        </is>
      </c>
      <c r="Q58" s="29" t="inlineStr">
        <is>
          <t>Draft trace đúng policy/graph version; policy retired không được lấy qua cache cũ. Test crash ở từng bước publish, stale cache và một store unavailable; request không trộn release; draft đã duyệt phải revalidate policy trước action/send.</t>
        </is>
      </c>
      <c r="R58" s="29" t="inlineStr">
        <is>
          <t>SRC-02 §15,20; SRC-06 §5–7</t>
        </is>
      </c>
      <c r="S58" s="29" t="inlineStr">
        <is>
          <t>Core</t>
        </is>
      </c>
      <c r="T58" s="29">
        <f>'WBS'!J71</f>
        <v/>
      </c>
      <c r="U58" s="29" t="inlineStr">
        <is>
          <t>Chưa có — điền đường dẫn báo cáo/commit/demo sau khi thực hiện</t>
        </is>
      </c>
    </row>
    <row r="59" ht="62.25" customHeight="1">
      <c r="A59" s="35" t="inlineStr">
        <is>
          <t>M6.8</t>
        </is>
      </c>
      <c r="B59" s="27" t="inlineStr">
        <is>
          <t>M6</t>
        </is>
      </c>
      <c r="C59" s="27" t="inlineStr">
        <is>
          <t>Nghiệm thu vòng analyst→knowledge→chatbot</t>
        </is>
      </c>
      <c r="D59" s="28" t="n">
        <v>46394</v>
      </c>
      <c r="E59" s="28" t="n">
        <v>46394</v>
      </c>
      <c r="F59" s="27" t="inlineStr">
        <is>
          <t>AM</t>
        </is>
      </c>
      <c r="G59" s="27" t="n">
        <v>1</v>
      </c>
      <c r="H59" s="27" t="inlineStr">
        <is>
          <t>Trần Đình Khương</t>
        </is>
      </c>
      <c r="I59" s="27" t="inlineStr">
        <is>
          <t>QA</t>
        </is>
      </c>
      <c r="J59" s="27" t="inlineStr">
        <is>
          <t>5 persona scripts; thêm 20 knowledge queries và 20 resolution cases</t>
        </is>
      </c>
      <c r="K59" s="27" t="inlineStr">
        <is>
          <t>Chạy chuỗi end-to-end firmware demo; kiểm schema/approval/paths/source; tổng golden ≥100 và resolution ≥50; báo riêng policy/review/graph retrieval slices.</t>
        </is>
      </c>
      <c r="L59" s="27" t="inlineStr">
        <is>
          <t>Graph E2E recording; graph/resolution eval v2; source-linked reports</t>
        </is>
      </c>
      <c r="M59" s="27" t="inlineStr">
        <is>
          <t>MOD-01, MOD-08, MOD-10, MOD-11</t>
        </is>
      </c>
      <c r="N59" s="27" t="inlineStr">
        <is>
          <t>pytest; browser tests; Cypher assertions</t>
        </is>
      </c>
      <c r="O59" s="27" t="inlineStr">
        <is>
          <t>M6.7</t>
        </is>
      </c>
      <c r="P59" s="27" t="inlineStr">
        <is>
          <t>IO-14</t>
        </is>
      </c>
      <c r="Q59" s="27" t="inlineStr">
        <is>
          <t>5 role paths chạy với data demo; tổng ≥100 queries, ≥50 safety scenarios; unconfirmed case bắt buộc abstain/review.</t>
        </is>
      </c>
      <c r="R59" s="27" t="inlineStr">
        <is>
          <t>SRC-02 §19,21; SRC-06 §4,6; SRC-04</t>
        </is>
      </c>
      <c r="S59" s="27" t="inlineStr">
        <is>
          <t>Core</t>
        </is>
      </c>
      <c r="T59" s="27">
        <f>'WBS'!J72</f>
        <v/>
      </c>
      <c r="U59" s="27" t="inlineStr">
        <is>
          <t>Chưa có — điền đường dẫn báo cáo/commit/demo sau khi thực hiện</t>
        </is>
      </c>
    </row>
    <row r="60" ht="62.25" customHeight="1">
      <c r="A60" s="36" t="inlineStr">
        <is>
          <t>M6.9</t>
        </is>
      </c>
      <c r="B60" s="29" t="inlineStr">
        <is>
          <t>M6</t>
        </is>
      </c>
      <c r="C60" s="29" t="inlineStr">
        <is>
          <t>Đánh giá và ghi quyết định GraphRAG nâng cao</t>
        </is>
      </c>
      <c r="D60" s="30" t="n">
        <v>46395</v>
      </c>
      <c r="E60" s="30" t="n">
        <v>46395</v>
      </c>
      <c r="F60" s="29" t="inlineStr">
        <is>
          <t>AM</t>
        </is>
      </c>
      <c r="G60" s="29" t="n">
        <v>0.5</v>
      </c>
      <c r="H60" s="29" t="inlineStr">
        <is>
          <t>Trần Đình Khương</t>
        </is>
      </c>
      <c r="I60" s="29" t="inlineStr">
        <is>
          <t>Kiến trúc / ML</t>
        </is>
      </c>
      <c r="J60" s="29" t="inlineStr">
        <is>
          <t>Local GraphRAG report + cost/time budget</t>
        </is>
      </c>
      <c r="K60" s="29" t="inlineStr">
        <is>
          <t>So nhu cầu global graph summary/DRIFT với warehouse+clustering; ghi benchmark proposal và lý do defer; ghi microVM/automation/ASTE thành backlog có entry criteria.</t>
        </is>
      </c>
      <c r="L60" s="29" t="inlineStr">
        <is>
          <t>Extension ADR; roadmap sau tuần 14; scope ledger</t>
        </is>
      </c>
      <c r="M60" s="29" t="inlineStr">
        <is>
          <t>MOD-08, MOD-12</t>
        </is>
      </c>
      <c r="N60" s="29" t="inlineStr">
        <is>
          <t>ADR; evaluation design</t>
        </is>
      </c>
      <c r="O60" s="29" t="inlineStr">
        <is>
          <t>M6.8</t>
        </is>
      </c>
      <c r="P60" s="29" t="inlineStr">
        <is>
          <t>IO-15</t>
        </is>
      </c>
      <c r="Q60" s="29" t="inlineStr">
        <is>
          <t>Không đánh dấu global GraphRAG/DRIFT đã triển khai; mọi yêu cầu advanced có task/điều kiện riêng.</t>
        </is>
      </c>
      <c r="R60" s="29" t="inlineStr">
        <is>
          <t>SRC-02 §7.7,18 Phase5; SRC-07</t>
        </is>
      </c>
      <c r="S60" s="29" t="inlineStr">
        <is>
          <t>Core</t>
        </is>
      </c>
      <c r="T60" s="29">
        <f>'WBS'!J73</f>
        <v/>
      </c>
      <c r="U60" s="29" t="inlineStr">
        <is>
          <t>Chưa có — điền đường dẫn báo cáo/commit/demo sau khi thực hiện</t>
        </is>
      </c>
    </row>
    <row r="61" ht="62.25" customHeight="1">
      <c r="A61" s="35" t="inlineStr">
        <is>
          <t>M6.G</t>
        </is>
      </c>
      <c r="B61" s="27" t="inlineStr">
        <is>
          <t>M6</t>
        </is>
      </c>
      <c r="C61" s="27" t="inlineStr">
        <is>
          <t>G6 — Review, nghiệm thu và báo cáo giai đoạn</t>
        </is>
      </c>
      <c r="D61" s="28" t="n">
        <v>46395</v>
      </c>
      <c r="E61" s="28" t="n">
        <v>46395</v>
      </c>
      <c r="F61" s="27" t="inlineStr">
        <is>
          <t>PM</t>
        </is>
      </c>
      <c r="G61" s="27" t="n">
        <v>0.5</v>
      </c>
      <c r="H61" s="27" t="inlineStr">
        <is>
          <t>Trần Đình Khương</t>
        </is>
      </c>
      <c r="I61" s="27" t="inlineStr">
        <is>
          <t>QA / quản lý dự án</t>
        </is>
      </c>
      <c r="J61" s="27" t="inlineStr">
        <is>
          <t>Các đầu ra và test/eval của M6</t>
        </is>
      </c>
      <c r="K61" s="27" t="inlineStr">
        <is>
          <t>Chạy lại kịch bản nghiệm thu; đối chiếu yêu cầu; ghi PASS/FAIL/BLOCKED, số đo thực và kế hoạch sửa. Tự kiểm tra theo checklist; stakeholder xác nhận nếu có.</t>
        </is>
      </c>
      <c r="L61" s="27" t="inlineStr">
        <is>
          <t>docs/reports/milestones/m6-review.md; checklist; demo; manifest phiên bản</t>
        </is>
      </c>
      <c r="M61" s="27" t="inlineStr">
        <is>
          <t>MOD-12</t>
        </is>
      </c>
      <c r="N61" s="27" t="inlineStr">
        <is>
          <t>pytest; eval reports; Git</t>
        </is>
      </c>
      <c r="O61" s="27" t="inlineStr">
        <is>
          <t>M6.9</t>
        </is>
      </c>
      <c r="Q61" s="27" t="inlineStr">
        <is>
          <t>G6: quant→qual→proposed→review→publish→new ticket có bằng chứng; release manifest pin policy/graph/index, crash/reconcile và rollback pass; chưa xác nhận không được khẳng định.</t>
        </is>
      </c>
      <c r="R61" s="27" t="inlineStr">
        <is>
          <t>SRC-02 AN-AC-04..06; §3.5,19; SRC-04</t>
        </is>
      </c>
      <c r="S61" s="27" t="inlineStr">
        <is>
          <t>Gate</t>
        </is>
      </c>
      <c r="T61" s="27">
        <f>'WBS'!J74</f>
        <v/>
      </c>
      <c r="U61" s="27" t="inlineStr">
        <is>
          <t>Chưa có — điền đường dẫn báo cáo/commit/demo sau khi thực hiện</t>
        </is>
      </c>
    </row>
    <row r="62" ht="45.75" customHeight="1">
      <c r="A62" s="36" t="inlineStr">
        <is>
          <t>M6.B</t>
        </is>
      </c>
      <c r="B62" s="29" t="inlineStr">
        <is>
          <t>M6</t>
        </is>
      </c>
      <c r="C62" s="29" t="inlineStr">
        <is>
          <t>Nghỉ dự kiến 01/01/2027 (trích quỹ dự phòng)</t>
        </is>
      </c>
      <c r="D62" s="30" t="n">
        <v>46388</v>
      </c>
      <c r="E62" s="30" t="n">
        <v>46388</v>
      </c>
      <c r="F62" s="29" t="inlineStr">
        <is>
          <t>AM</t>
        </is>
      </c>
      <c r="G62" s="29" t="n">
        <v>1</v>
      </c>
      <c r="H62" s="29" t="inlineStr">
        <is>
          <t>Trần Đình Khương</t>
        </is>
      </c>
      <c r="I62" s="29" t="inlineStr">
        <is>
          <t>Dự phòng</t>
        </is>
      </c>
      <c r="J62" s="29" t="inlineStr">
        <is>
          <t>Blocker/failed gate hoặc ngày nghỉ đã xác nhận</t>
        </is>
      </c>
      <c r="K62" s="29" t="inlineStr">
        <is>
          <t>Dành ngày 01/01/2027 trong quỹ nghỉ/dự phòng. Core tasks M6 được xếp vòng qua ngày này. Nếu lịch nghỉ thay đổi, rebaseline lịch và capacity.</t>
        </is>
      </c>
      <c r="L62" s="29" t="inlineStr">
        <is>
          <t>Gate được kiểm tra lại; nhật ký sử dụng dự phòng và lịch cập nhật</t>
        </is>
      </c>
      <c r="M62" s="29" t="inlineStr">
        <is>
          <t>MOD-12</t>
        </is>
      </c>
      <c r="N62" s="29" t="inlineStr">
        <is>
          <t>Issue log; regression tests</t>
        </is>
      </c>
      <c r="O62" s="29" t="inlineStr">
        <is>
          <t>RESERVE — không phải quan hệ finish-to-start</t>
        </is>
      </c>
      <c r="Q62" s="29" t="inlineStr">
        <is>
          <t>Không xếp công việc core vào ngày nghỉ dự kiến.</t>
        </is>
      </c>
      <c r="R62" s="29" t="inlineStr">
        <is>
          <t>DEC-01; DEC-02</t>
        </is>
      </c>
      <c r="S62" s="29" t="inlineStr">
        <is>
          <t>Calendar reserve</t>
        </is>
      </c>
      <c r="T62" s="29">
        <f>'WBS'!J75</f>
        <v/>
      </c>
      <c r="U62" s="29" t="inlineStr">
        <is>
          <t>Chưa có — điền đường dẫn báo cáo/commit/demo sau khi thực hiện</t>
        </is>
      </c>
    </row>
    <row r="63" ht="62.25" customHeight="1">
      <c r="A63" s="35" t="inlineStr">
        <is>
          <t>M7.1</t>
        </is>
      </c>
      <c r="B63" s="27" t="inlineStr">
        <is>
          <t>M7</t>
        </is>
      </c>
      <c r="C63" s="27" t="inlineStr">
        <is>
          <t>Chuẩn hóa toàn bộ feedback và export</t>
        </is>
      </c>
      <c r="D63" s="28" t="n">
        <v>46398</v>
      </c>
      <c r="E63" s="28" t="n">
        <v>46398</v>
      </c>
      <c r="F63" s="27" t="inlineStr">
        <is>
          <t>AM</t>
        </is>
      </c>
      <c r="G63" s="27" t="n">
        <v>1</v>
      </c>
      <c r="H63" s="27" t="inlineStr">
        <is>
          <t>Trần Đình Khương</t>
        </is>
      </c>
      <c r="I63" s="27" t="inlineStr">
        <is>
          <t>Backend / Data</t>
        </is>
      </c>
      <c r="J63" s="27" t="inlineStr">
        <is>
          <t>Corrections, edits, relevance, stale flags, outcomes</t>
        </is>
      </c>
      <c r="K63" s="27" t="inlineStr">
        <is>
          <t>Unified contribution API và statuses proposed/reviewed/approved/rejected/published; resolve disagreement; export chỉ approved; label/retrieval/knowledge queues riêng; dataset lineage.</t>
        </is>
      </c>
      <c r="L63" s="27" t="inlineStr">
        <is>
          <t>Annotation store; approved training/eval exports; judgments dataset</t>
        </is>
      </c>
      <c r="M63" s="27" t="inlineStr">
        <is>
          <t>MOD-11</t>
        </is>
      </c>
      <c r="N63" s="27" t="inlineStr">
        <is>
          <t>PostgreSQL; Pydantic; JSONL/Parquet</t>
        </is>
      </c>
      <c r="O63" s="27" t="inlineStr">
        <is>
          <t>M6.G</t>
        </is>
      </c>
      <c r="P63" s="27" t="inlineStr">
        <is>
          <t>IO-13</t>
        </is>
      </c>
      <c r="Q63" s="27" t="inlineStr">
        <is>
          <t>Hỗ trợ 8 feedback types trong blueprint; raw annotation không thành ground truth; test labels không nhập train.</t>
        </is>
      </c>
      <c r="R63" s="27" t="inlineStr">
        <is>
          <t>SRC-02 §7.10; SRC-06 §7</t>
        </is>
      </c>
      <c r="S63" s="27" t="inlineStr">
        <is>
          <t>Core</t>
        </is>
      </c>
      <c r="T63" s="27">
        <f>'WBS'!J77</f>
        <v/>
      </c>
      <c r="U63" s="27" t="inlineStr">
        <is>
          <t>Chưa có — điền đường dẫn báo cáo/commit/demo sau khi thực hiện</t>
        </is>
      </c>
    </row>
    <row r="64" ht="62.25" customHeight="1">
      <c r="A64" s="36" t="inlineStr">
        <is>
          <t>M7.2</t>
        </is>
      </c>
      <c r="B64" s="29" t="inlineStr">
        <is>
          <t>M7</t>
        </is>
      </c>
      <c r="C64" s="29" t="inlineStr">
        <is>
          <t>Một vòng active learning và model promotion</t>
        </is>
      </c>
      <c r="D64" s="30" t="n">
        <v>46399</v>
      </c>
      <c r="E64" s="30" t="n">
        <v>46399</v>
      </c>
      <c r="F64" s="29" t="inlineStr">
        <is>
          <t>AM</t>
        </is>
      </c>
      <c r="G64" s="29" t="n">
        <v>1</v>
      </c>
      <c r="H64" s="29" t="inlineStr">
        <is>
          <t>Trần Đình Khương</t>
        </is>
      </c>
      <c r="I64" s="29" t="inlineStr">
        <is>
          <t>ML</t>
        </is>
      </c>
      <c r="J64" s="29" t="inlineStr">
        <is>
          <t>Approved corrections + baseline training/eval pipelines</t>
        </is>
      </c>
      <c r="K64" s="29" t="inlineStr">
        <is>
          <t>Chọn uncertainty/disagreement, giữ quota diversity; retrain một candidate bounded; so cùng held-out locked; publish hoặc reject; lưu artifacts và rollback pointer.</t>
        </is>
      </c>
      <c r="L64" s="29" t="inlineStr">
        <is>
          <t>Active-learning report; candidate model; promotion/rollback manifest</t>
        </is>
      </c>
      <c r="M64" s="29" t="inlineStr">
        <is>
          <t>MOD-07, MOD-11</t>
        </is>
      </c>
      <c r="N64" s="29" t="inlineStr">
        <is>
          <t>PyTorch/scikit-learn pipelines; versioned artifacts</t>
        </is>
      </c>
      <c r="O64" s="29" t="inlineStr">
        <is>
          <t>M7.1</t>
        </is>
      </c>
      <c r="P64" s="29" t="inlineStr">
        <is>
          <t>IO-10, IO-14, IO-15</t>
        </is>
      </c>
      <c r="Q64" s="29" t="inlineStr">
        <is>
          <t>Không bắt buộc candidate phải tốt hơn; chỉ promote nếu gate pass; không tự publish từ feedback chưa duyệt.</t>
        </is>
      </c>
      <c r="R64" s="29" t="inlineStr">
        <is>
          <t>SRC-02 §7.10,13,15; SRC-06 §7; SRC-15</t>
        </is>
      </c>
      <c r="S64" s="29" t="inlineStr">
        <is>
          <t>Core</t>
        </is>
      </c>
      <c r="T64" s="29">
        <f>'WBS'!J78</f>
        <v/>
      </c>
      <c r="U64" s="29" t="inlineStr">
        <is>
          <t>Chưa có — điền đường dẫn báo cáo/commit/demo sau khi thực hiện</t>
        </is>
      </c>
    </row>
    <row r="65" ht="62.25" customHeight="1">
      <c r="A65" s="35" t="inlineStr">
        <is>
          <t>M7.3</t>
        </is>
      </c>
      <c r="B65" s="27" t="inlineStr">
        <is>
          <t>M7</t>
        </is>
      </c>
      <c r="C65" s="27" t="inlineStr">
        <is>
          <t>Drift, quality và feedback monitoring</t>
        </is>
      </c>
      <c r="D65" s="28" t="n">
        <v>46400</v>
      </c>
      <c r="E65" s="28" t="n">
        <v>46400</v>
      </c>
      <c r="F65" s="27" t="inlineStr">
        <is>
          <t>AM</t>
        </is>
      </c>
      <c r="G65" s="27" t="n">
        <v>0.5</v>
      </c>
      <c r="H65" s="27" t="inlineStr">
        <is>
          <t>Trần Đình Khương</t>
        </is>
      </c>
      <c r="I65" s="27" t="inlineStr">
        <is>
          <t>ML / Platform</t>
        </is>
      </c>
      <c r="J65" s="27" t="inlineStr">
        <is>
          <t>Inference distributions + outcome events</t>
        </is>
      </c>
      <c r="K65" s="27" t="inlineStr">
        <is>
          <t>Monitor label/aspect/confidence/input-length/language drift và queue depth; draft acceptance/edit reasons; alert theo baseline và sample size; nối version dimensions.</t>
        </is>
      </c>
      <c r="L65" s="27" t="inlineStr">
        <is>
          <t>Quality/drift dashboard và alert config</t>
        </is>
      </c>
      <c r="M65" s="27" t="inlineStr">
        <is>
          <t>MOD-07, MOD-09, MOD-12</t>
        </is>
      </c>
      <c r="N65" s="27" t="inlineStr">
        <is>
          <t>Prometheus/OpenTelemetry; SQL; scheduled jobs</t>
        </is>
      </c>
      <c r="O65" s="27" t="inlineStr">
        <is>
          <t>M7.2</t>
        </is>
      </c>
      <c r="P65" s="27" t="inlineStr">
        <is>
          <t>IO-15</t>
        </is>
      </c>
      <c r="Q65" s="27" t="inlineStr">
        <is>
          <t>Drift chỉ là tín hiệu kiểm tra; không tự đổi model/policy; thresholds và observed window được ghi.</t>
        </is>
      </c>
      <c r="R65" s="27" t="inlineStr">
        <is>
          <t>SRC-05 L7; SRC-07 monitoring; SRC-02 §15</t>
        </is>
      </c>
      <c r="S65" s="27" t="inlineStr">
        <is>
          <t>Core</t>
        </is>
      </c>
      <c r="T65" s="27">
        <f>'WBS'!J79</f>
        <v/>
      </c>
      <c r="U65" s="27" t="inlineStr">
        <is>
          <t>Chưa có — điền đường dẫn báo cáo/commit/demo sau khi thực hiện</t>
        </is>
      </c>
    </row>
    <row r="66" ht="62.25" customHeight="1">
      <c r="A66" s="36" t="inlineStr">
        <is>
          <t>M7.4</t>
        </is>
      </c>
      <c r="B66" s="29" t="inlineStr">
        <is>
          <t>M7</t>
        </is>
      </c>
      <c r="C66" s="29" t="inlineStr">
        <is>
          <t>Retention, correction và deletion propagation</t>
        </is>
      </c>
      <c r="D66" s="30" t="n">
        <v>46400</v>
      </c>
      <c r="E66" s="30" t="n">
        <v>46400</v>
      </c>
      <c r="F66" s="29" t="inlineStr">
        <is>
          <t>PM</t>
        </is>
      </c>
      <c r="G66" s="29" t="n">
        <v>0.5</v>
      </c>
      <c r="H66" s="29" t="inlineStr">
        <is>
          <t>Trần Đình Khương</t>
        </is>
      </c>
      <c r="I66" s="29" t="inlineStr">
        <is>
          <t>Backend / governance</t>
        </is>
      </c>
      <c r="J66" s="29" t="inlineStr">
        <is>
          <t>Data inventory + retention decisions + synthetic subject request</t>
        </is>
      </c>
      <c r="K66" s="29" t="inlineStr">
        <is>
          <t>Xóa/sửa subject record qua SQL, index, graph evidence links, caches và exports; tombstone/audit phù hợp; đánh dấu model artifacts cần đánh giá khi chứa training record đã xóa.</t>
        </is>
      </c>
      <c r="L66" s="29" t="inlineStr">
        <is>
          <t>Deletion/correction workflow + lineage test</t>
        </is>
      </c>
      <c r="M66" s="29" t="inlineStr">
        <is>
          <t>MOD-02, MOD-08, MOD-11, MOD-12</t>
        </is>
      </c>
      <c r="N66" s="29" t="inlineStr">
        <is>
          <t>PostgreSQL; Qdrant; Neo4j; artifact manifests</t>
        </is>
      </c>
      <c r="O66" s="29" t="inlineStr">
        <is>
          <t>M7.3</t>
        </is>
      </c>
      <c r="P66" s="29" t="inlineStr">
        <is>
          <t>IO-13, IO-15</t>
        </is>
      </c>
      <c r="Q66" s="29" t="inlineStr">
        <is>
          <t>Không còn retrievable record bị xóa; raw PII không được phục hồi qua rollback; model unlearning không được tuyên bố đã làm.</t>
        </is>
      </c>
      <c r="R66" s="29" t="inlineStr">
        <is>
          <t>SRC-02 §14,21; SRC-07 governance</t>
        </is>
      </c>
      <c r="S66" s="29" t="inlineStr">
        <is>
          <t>Core</t>
        </is>
      </c>
      <c r="T66" s="29">
        <f>'WBS'!J80</f>
        <v/>
      </c>
      <c r="U66" s="29" t="inlineStr">
        <is>
          <t>Chưa có — điền đường dẫn báo cáo/commit/demo sau khi thực hiện</t>
        </is>
      </c>
    </row>
    <row r="67" ht="45.75" customHeight="1">
      <c r="A67" s="35" t="inlineStr">
        <is>
          <t>M7.5</t>
        </is>
      </c>
      <c r="B67" s="27" t="inlineStr">
        <is>
          <t>M7</t>
        </is>
      </c>
      <c r="C67" s="27" t="inlineStr">
        <is>
          <t>Regression learning loop và outcome efficacy</t>
        </is>
      </c>
      <c r="D67" s="28" t="n">
        <v>46401</v>
      </c>
      <c r="E67" s="28" t="n">
        <v>46401</v>
      </c>
      <c r="F67" s="27" t="inlineStr">
        <is>
          <t>AM</t>
        </is>
      </c>
      <c r="G67" s="27" t="n">
        <v>0.5</v>
      </c>
      <c r="H67" s="27" t="inlineStr">
        <is>
          <t>Trần Đình Khương</t>
        </is>
      </c>
      <c r="I67" s="27" t="inlineStr">
        <is>
          <t>QA</t>
        </is>
      </c>
      <c r="J67" s="27" t="inlineStr">
        <is>
          <t>Feedback cycle, dataset/model/graph manifests</t>
        </is>
      </c>
      <c r="K67" s="27" t="inlineStr">
        <is>
          <t>Chạy export/retrain/publish/reject/rollback tests; liên kết resolution_success/reopen/recurrence; kiểm final response và author trace.</t>
        </is>
      </c>
      <c r="L67" s="27" t="inlineStr">
        <is>
          <t>Closed-loop E2E report; outcome linkage checks</t>
        </is>
      </c>
      <c r="M67" s="27" t="inlineStr">
        <is>
          <t>MOD-07, MOD-09, MOD-11</t>
        </is>
      </c>
      <c r="N67" s="27" t="inlineStr">
        <is>
          <t>pytest; SQL; manifest diff</t>
        </is>
      </c>
      <c r="O67" s="27" t="inlineStr">
        <is>
          <t>M7.4</t>
        </is>
      </c>
      <c r="P67" s="27" t="inlineStr">
        <is>
          <t>IO-14</t>
        </is>
      </c>
      <c r="Q67" s="27" t="inlineStr">
        <is>
          <t>Mỗi thay đổi có source/author/reviewer/version; không học trực tiếp từ người dùng; kết quả kém không promote.</t>
        </is>
      </c>
      <c r="R67" s="27" t="inlineStr">
        <is>
          <t>SRC-02 §21; SRC-03; SRC-06 §7</t>
        </is>
      </c>
      <c r="S67" s="27" t="inlineStr">
        <is>
          <t>Core</t>
        </is>
      </c>
      <c r="T67" s="27">
        <f>'WBS'!J81</f>
        <v/>
      </c>
      <c r="U67" s="27" t="inlineStr">
        <is>
          <t>Chưa có — điền đường dẫn báo cáo/commit/demo sau khi thực hiện</t>
        </is>
      </c>
    </row>
    <row r="68" ht="62.25" customHeight="1">
      <c r="A68" s="36" t="inlineStr">
        <is>
          <t>M7.G</t>
        </is>
      </c>
      <c r="B68" s="29" t="inlineStr">
        <is>
          <t>M7</t>
        </is>
      </c>
      <c r="C68" s="29" t="inlineStr">
        <is>
          <t>G7 — Review, nghiệm thu và báo cáo giai đoạn</t>
        </is>
      </c>
      <c r="D68" s="30" t="n">
        <v>46401</v>
      </c>
      <c r="E68" s="30" t="n">
        <v>46401</v>
      </c>
      <c r="F68" s="29" t="inlineStr">
        <is>
          <t>PM</t>
        </is>
      </c>
      <c r="G68" s="29" t="n">
        <v>0.5</v>
      </c>
      <c r="H68" s="29" t="inlineStr">
        <is>
          <t>Trần Đình Khương</t>
        </is>
      </c>
      <c r="I68" s="29" t="inlineStr">
        <is>
          <t>QA / quản lý dự án</t>
        </is>
      </c>
      <c r="J68" s="29" t="inlineStr">
        <is>
          <t>Các đầu ra và test/eval của M7</t>
        </is>
      </c>
      <c r="K68" s="29" t="inlineStr">
        <is>
          <t>Chạy lại kịch bản nghiệm thu; đối chiếu yêu cầu; ghi PASS/FAIL/BLOCKED, số đo thực và kế hoạch sửa. Tự kiểm tra theo checklist; stakeholder xác nhận nếu có.</t>
        </is>
      </c>
      <c r="L68" s="29" t="inlineStr">
        <is>
          <t>docs/reports/milestones/m7-review.md; checklist; demo; manifest phiên bản</t>
        </is>
      </c>
      <c r="M68" s="29" t="inlineStr">
        <is>
          <t>MOD-12</t>
        </is>
      </c>
      <c r="N68" s="29" t="inlineStr">
        <is>
          <t>pytest; eval reports; Git</t>
        </is>
      </c>
      <c r="O68" s="29" t="inlineStr">
        <is>
          <t>M7.5</t>
        </is>
      </c>
      <c r="Q68" s="29" t="inlineStr">
        <is>
          <t>G7: sửa nhãn/tri thức→duyệt→dataset/model/knowledge version→đánh giá→publish hoặc reject được chạy và truy vết.</t>
        </is>
      </c>
      <c r="R68" s="29" t="inlineStr">
        <is>
          <t>SRC-02 §7.10,21; SRC-04</t>
        </is>
      </c>
      <c r="S68" s="29" t="inlineStr">
        <is>
          <t>Gate</t>
        </is>
      </c>
      <c r="T68" s="29">
        <f>'WBS'!J82</f>
        <v/>
      </c>
      <c r="U68" s="29" t="inlineStr">
        <is>
          <t>Chưa có — điền đường dẫn báo cáo/commit/demo sau khi thực hiện</t>
        </is>
      </c>
    </row>
    <row r="69" ht="45.75" customHeight="1">
      <c r="A69" s="35" t="inlineStr">
        <is>
          <t>M7.B</t>
        </is>
      </c>
      <c r="B69" s="27" t="inlineStr">
        <is>
          <t>M7</t>
        </is>
      </c>
      <c r="C69" s="27" t="inlineStr">
        <is>
          <t>Dự phòng sửa lỗi, tích hợp hoặc nghỉ theo lịch thực tế</t>
        </is>
      </c>
      <c r="D69" s="28" t="n">
        <v>46402</v>
      </c>
      <c r="E69" s="28" t="n">
        <v>46402</v>
      </c>
      <c r="F69" s="27" t="inlineStr">
        <is>
          <t>AM</t>
        </is>
      </c>
      <c r="G69" s="27" t="n">
        <v>1</v>
      </c>
      <c r="H69" s="27" t="inlineStr">
        <is>
          <t>Trần Đình Khương</t>
        </is>
      </c>
      <c r="I69" s="27" t="inlineStr">
        <is>
          <t>Dự phòng</t>
        </is>
      </c>
      <c r="J69" s="27" t="inlineStr">
        <is>
          <t>Blocker/failed gate hoặc ngày nghỉ đã xác nhận</t>
        </is>
      </c>
      <c r="K69" s="27" t="inlineStr">
        <is>
          <t>Ưu tiên sửa gate của giai đoạn; nếu chưa dùng thì giữ quỹ dự phòng. Không tự bổ sung tính năng.</t>
        </is>
      </c>
      <c r="L69" s="27" t="inlineStr">
        <is>
          <t>Gate được kiểm tra lại; nhật ký sử dụng dự phòng và lịch cập nhật</t>
        </is>
      </c>
      <c r="M69" s="27" t="inlineStr">
        <is>
          <t>MOD-12</t>
        </is>
      </c>
      <c r="N69" s="27" t="inlineStr">
        <is>
          <t>Issue log; regression tests</t>
        </is>
      </c>
      <c r="O69" s="27" t="inlineStr">
        <is>
          <t>RESERVE — không phải quan hệ finish-to-start</t>
        </is>
      </c>
      <c r="Q69" s="27" t="inlineStr">
        <is>
          <t>Không vượt ngày kết thúc giai đoạn; nếu vượt phải rebaseline, không đánh dấu Done khi gate fail.</t>
        </is>
      </c>
      <c r="R69" s="27" t="inlineStr">
        <is>
          <t>DEC-01; DEC-02</t>
        </is>
      </c>
      <c r="S69" s="27" t="inlineStr">
        <is>
          <t>Buffer</t>
        </is>
      </c>
      <c r="T69" s="27">
        <f>'WBS'!J83</f>
        <v/>
      </c>
      <c r="U69" s="27" t="inlineStr">
        <is>
          <t>Chưa có — điền đường dẫn báo cáo/commit/demo sau khi thực hiện</t>
        </is>
      </c>
    </row>
    <row r="70" ht="62.25" customHeight="1">
      <c r="A70" s="36" t="inlineStr">
        <is>
          <t>M8.1</t>
        </is>
      </c>
      <c r="B70" s="29" t="inlineStr">
        <is>
          <t>M8</t>
        </is>
      </c>
      <c r="C70" s="29" t="inlineStr">
        <is>
          <t>CI, AI gates và artifact release bất biến</t>
        </is>
      </c>
      <c r="D70" s="30" t="n">
        <v>46405</v>
      </c>
      <c r="E70" s="30" t="n">
        <v>46405</v>
      </c>
      <c r="F70" s="29" t="inlineStr">
        <is>
          <t>AM</t>
        </is>
      </c>
      <c r="G70" s="29" t="n">
        <v>1</v>
      </c>
      <c r="H70" s="29" t="inlineStr">
        <is>
          <t>Trần Đình Khương</t>
        </is>
      </c>
      <c r="I70" s="29" t="inlineStr">
        <is>
          <t>Platform</t>
        </is>
      </c>
      <c r="J70" s="29" t="inlineStr">
        <is>
          <t>Existing CI workflows + all eval reports</t>
        </is>
      </c>
      <c r="K70" s="29" t="inlineStr">
        <is>
          <t>Chạy unit/contract/integration/eval/E2E; build once by digest; attach data/model/index/graph/policy/prompt versions; promote same artifact; model/app rollback tách; giữ test evidence.</t>
        </is>
      </c>
      <c r="L70" s="29" t="inlineStr">
        <is>
          <t>Release workflow + run-manifest + reproducibility scripts</t>
        </is>
      </c>
      <c r="M70" s="29" t="inlineStr">
        <is>
          <t>MOD-12</t>
        </is>
      </c>
      <c r="N70" s="29" t="inlineStr">
        <is>
          <t>GitHub Actions; Poetry lock; Docker; pytest; artifacts/S3</t>
        </is>
      </c>
      <c r="O70" s="29" t="inlineStr">
        <is>
          <t>M7.G</t>
        </is>
      </c>
      <c r="P70" s="29" t="inlineStr">
        <is>
          <t>IO-15</t>
        </is>
      </c>
      <c r="Q70" s="29" t="inlineStr">
        <is>
          <t>CI pass gồm AI/policy gates, không chỉ Pod Ready; không commit model/index binaries.</t>
        </is>
      </c>
      <c r="R70" s="29" t="inlineStr">
        <is>
          <t>SRC-02 §15–16,21; SRC-15; SRC-16</t>
        </is>
      </c>
      <c r="S70" s="29" t="inlineStr">
        <is>
          <t>Core</t>
        </is>
      </c>
      <c r="T70" s="29">
        <f>'WBS'!J85</f>
        <v/>
      </c>
      <c r="U70" s="29" t="inlineStr">
        <is>
          <t>Chưa có — điền đường dẫn báo cáo/commit/demo sau khi thực hiện</t>
        </is>
      </c>
    </row>
    <row r="71" ht="275.42" customHeight="1">
      <c r="A71" s="35" t="inlineStr">
        <is>
          <t>M8.2</t>
        </is>
      </c>
      <c r="B71" s="27" t="inlineStr">
        <is>
          <t>M8</t>
        </is>
      </c>
      <c r="C71" s="27" t="inlineStr">
        <is>
          <t>Hạ tầng và phân quyền deployment mục tiêu</t>
        </is>
      </c>
      <c r="D71" s="28" t="n">
        <v>46406</v>
      </c>
      <c r="E71" s="28" t="n">
        <v>46406</v>
      </c>
      <c r="F71" s="27" t="inlineStr">
        <is>
          <t>AM</t>
        </is>
      </c>
      <c r="G71" s="27" t="n">
        <v>1</v>
      </c>
      <c r="H71" s="27" t="inlineStr">
        <is>
          <t>Trần Đình Khương</t>
        </is>
      </c>
      <c r="I71" s="27" t="inlineStr">
        <is>
          <t>Platform</t>
        </is>
      </c>
      <c r="J71" s="27" t="inlineStr">
        <is>
          <t>Compose release + infrastructure ADR + cloud prerequisites</t>
        </is>
      </c>
      <c r="K71" s="27" t="inlineStr">
        <is>
          <t>Helm/Terraform cấu hình bounded demo; OIDC builder/staging/prod roles; per-service identity; Secrets, NetworkPolicy, non-root/read-only; CPU/GPU worker separation; validate/render plan. IAM matrix: builder chỉ push ECR; staging/prod deploy role riêng, production environment có reviewer; API read-only S3 docs + secrets cần thiết; training worker read/write dataset bucket. Chọn Pod Identity hoặc IRSA, chặn pod lấy node-role credentials qua IMDS; validate securityContext runAsNonRoot/readOnlyRootFilesystem/drop ALL và NetworkPolicy. Tên role theo SenticRAG, không sao chép project-a.</t>
        </is>
      </c>
      <c r="L71" s="27" t="inlineStr">
        <is>
          <t>IaC/chart package; IAM matrix; rendered manifests; cloud cost/prerequisite record</t>
        </is>
      </c>
      <c r="M71" s="27" t="inlineStr">
        <is>
          <t>MOD-12</t>
        </is>
      </c>
      <c r="N71" s="27" t="inlineStr">
        <is>
          <t>Helm; Terraform; EKS/ECR/S3/Secrets target; Kubernetes</t>
        </is>
      </c>
      <c r="O71" s="27" t="inlineStr">
        <is>
          <t>M8.1</t>
        </is>
      </c>
      <c r="P71" s="27" t="inlineStr">
        <is>
          <t>IO-15</t>
        </is>
      </c>
      <c r="Q71" s="27" t="inlineStr">
        <is>
          <t>Không hứa production full trong 1 ngày: scope là minimal validated package; thiếu account hoặc resource thì live apply là BLOCKED. Render/lint/policy checks không chứng minh IAM runtime; negative access tests chỉ PASS khi chạy trên môi trường thật, thiếu cloud ghi NOT RUN.</t>
        </is>
      </c>
      <c r="R71" s="27" t="inlineStr">
        <is>
          <t>SRC-02 §14.3,16; SRC-05 §7; DEC-11</t>
        </is>
      </c>
      <c r="S71" s="27" t="inlineStr">
        <is>
          <t>Core</t>
        </is>
      </c>
      <c r="T71" s="27">
        <f>'WBS'!J86</f>
        <v/>
      </c>
      <c r="U71" s="27" t="inlineStr">
        <is>
          <t>Chưa có — điền đường dẫn báo cáo/commit/demo sau khi thực hiện</t>
        </is>
      </c>
    </row>
    <row r="72" ht="62.25" customHeight="1">
      <c r="A72" s="36" t="inlineStr">
        <is>
          <t>M8.3</t>
        </is>
      </c>
      <c r="B72" s="29" t="inlineStr">
        <is>
          <t>M8</t>
        </is>
      </c>
      <c r="C72" s="29" t="inlineStr">
        <is>
          <t>Deploy demo và health/observability thật</t>
        </is>
      </c>
      <c r="D72" s="30" t="n">
        <v>46407</v>
      </c>
      <c r="E72" s="30" t="n">
        <v>46407</v>
      </c>
      <c r="F72" s="29" t="inlineStr">
        <is>
          <t>AM</t>
        </is>
      </c>
      <c r="G72" s="29" t="n">
        <v>1</v>
      </c>
      <c r="H72" s="29" t="inlineStr">
        <is>
          <t>Trần Đình Khương</t>
        </is>
      </c>
      <c r="I72" s="29" t="inlineStr">
        <is>
          <t>Platform</t>
        </is>
      </c>
      <c r="J72" s="29" t="inlineStr">
        <is>
          <t>Release artifacts + available local/staging resources</t>
        </is>
      </c>
      <c r="K72" s="29" t="inlineStr">
        <is>
          <t>Chạy Compose demo bắt buộc; nếu prereqs đủ, triển khai bounded EKS staging; trace→logs→metrics; dependency readiness, secrets, alerts và cost; ghi endpoint/env và kết quả.</t>
        </is>
      </c>
      <c r="L72" s="29" t="inlineStr">
        <is>
          <t>Runnable environment; deploy smoke evidence; production-target status</t>
        </is>
      </c>
      <c r="M72" s="29" t="inlineStr">
        <is>
          <t>MOD-12</t>
        </is>
      </c>
      <c r="N72" s="29" t="inlineStr">
        <is>
          <t>Docker Compose; optional live EKS; OTel; Prometheus/Grafana</t>
        </is>
      </c>
      <c r="O72" s="29" t="inlineStr">
        <is>
          <t>M8.2</t>
        </is>
      </c>
      <c r="P72" s="29" t="inlineStr">
        <is>
          <t>IO-15</t>
        </is>
      </c>
      <c r="Q72" s="29" t="inlineStr">
        <is>
          <t>Local pass không thay live-cloud evidence; prod promotion chưa có approval phải để pending; không ghi enterprise-ready.</t>
        </is>
      </c>
      <c r="R72" s="29" t="inlineStr">
        <is>
          <t>SRC-02 §15–16; SRC-07 NFR; SRC-05 L7</t>
        </is>
      </c>
      <c r="S72" s="29" t="inlineStr">
        <is>
          <t>Core</t>
        </is>
      </c>
      <c r="T72" s="29">
        <f>'WBS'!J87</f>
        <v/>
      </c>
      <c r="U72" s="29" t="inlineStr">
        <is>
          <t>Chưa có — điền đường dẫn báo cáo/commit/demo sau khi thực hiện</t>
        </is>
      </c>
    </row>
    <row r="73" ht="171.08" customHeight="1">
      <c r="A73" s="35" t="inlineStr">
        <is>
          <t>M8.4</t>
        </is>
      </c>
      <c r="B73" s="27" t="inlineStr">
        <is>
          <t>M8</t>
        </is>
      </c>
      <c r="C73" s="27" t="inlineStr">
        <is>
          <t>Load, failure, latency và sizing</t>
        </is>
      </c>
      <c r="D73" s="28" t="n">
        <v>46408</v>
      </c>
      <c r="E73" s="28" t="n">
        <v>46408</v>
      </c>
      <c r="F73" s="27" t="inlineStr">
        <is>
          <t>AM</t>
        </is>
      </c>
      <c r="G73" s="27" t="n">
        <v>1</v>
      </c>
      <c r="H73" s="27" t="inlineStr">
        <is>
          <t>Trần Đình Khương</t>
        </is>
      </c>
      <c r="I73" s="27" t="inlineStr">
        <is>
          <t>QA / Platform</t>
        </is>
      </c>
      <c r="J73" s="27" t="inlineStr">
        <is>
          <t>Frozen corpus, fixed hardware and release</t>
        </is>
      </c>
      <c r="K73" s="27" t="inlineStr">
        <is>
          <t>Cold/warm p50/p95/p99 và concurrency; 1x/3x/10x synthetic load nếu tài nguyên cho phép; stage time, RAM/disk/GPU; inject timeout/Qdrant/Neo4j/queue errors; backlog/resume. Báo riêng thời gian Pipeline B, full response và TTFT; chờ người duyệt là trạng thái pending có đồng hồ riêng. Pipeline B vượt 2s thì profile architecture-target FAIL dù demo &lt;60s có thể pass.</t>
        </is>
      </c>
      <c r="L73" s="27" t="inlineStr">
        <is>
          <t>Load/failure report + measured resource envelope + tuned config</t>
        </is>
      </c>
      <c r="M73" s="27" t="inlineStr">
        <is>
          <t>MOD-04, MOD-07, MOD-12</t>
        </is>
      </c>
      <c r="N73" s="27" t="inlineStr">
        <is>
          <t>Python load harness; metrics; Docker stats</t>
        </is>
      </c>
      <c r="O73" s="27" t="inlineStr">
        <is>
          <t>M8.3</t>
        </is>
      </c>
      <c r="P73" s="27" t="inlineStr">
        <is>
          <t>IO-14, IO-15</t>
        </is>
      </c>
      <c r="Q73" s="27" t="inlineStr">
        <is>
          <t>Các SLO 250ms/300ms/&lt;2s là targets chưa chứng minh; phần không chạy ghi NOT RUN; output partial không silent.</t>
        </is>
      </c>
      <c r="R73" s="27" t="inlineStr">
        <is>
          <t>SRC-07 NFR; SRC-05 §5.2; SRC-06 sizing</t>
        </is>
      </c>
      <c r="S73" s="27" t="inlineStr">
        <is>
          <t>Core</t>
        </is>
      </c>
      <c r="T73" s="27">
        <f>'WBS'!J88</f>
        <v/>
      </c>
      <c r="U73" s="27" t="inlineStr">
        <is>
          <t>Chưa có — điền đường dẫn báo cáo/commit/demo sau khi thực hiện</t>
        </is>
      </c>
    </row>
    <row r="74" ht="62.25" customHeight="1">
      <c r="A74" s="36" t="inlineStr">
        <is>
          <t>M8.5</t>
        </is>
      </c>
      <c r="B74" s="29" t="inlineStr">
        <is>
          <t>M8</t>
        </is>
      </c>
      <c r="C74" s="29" t="inlineStr">
        <is>
          <t>Privacy/access, backup và rollback drill</t>
        </is>
      </c>
      <c r="D74" s="30" t="n">
        <v>46409</v>
      </c>
      <c r="E74" s="30" t="n">
        <v>46409</v>
      </c>
      <c r="F74" s="29" t="inlineStr">
        <is>
          <t>AM</t>
        </is>
      </c>
      <c r="G74" s="29" t="n">
        <v>1</v>
      </c>
      <c r="H74" s="29" t="inlineStr">
        <is>
          <t>Trần Đình Khương</t>
        </is>
      </c>
      <c r="I74" s="29" t="inlineStr">
        <is>
          <t>QA / Platform</t>
        </is>
      </c>
      <c r="J74" s="29" t="inlineStr">
        <is>
          <t>Release + role matrix + snapshots</t>
        </is>
      </c>
      <c r="K74" s="29" t="inlineStr">
        <is>
          <t>Test cross-customer/role, PII, deletion, prompt injection, stale policy; backup/restore PostgreSQL/Qdrant/Neo4j; rollback app/model/index/knowledge riêng; document incident response.</t>
        </is>
      </c>
      <c r="L74" s="29" t="inlineStr">
        <is>
          <t>Security regression; restore/rollback timings; runbooks</t>
        </is>
      </c>
      <c r="M74" s="29" t="inlineStr">
        <is>
          <t>MOD-12</t>
        </is>
      </c>
      <c r="N74" s="29" t="inlineStr">
        <is>
          <t>pytest; backup tools; manifests; Docker/Kubernetes</t>
        </is>
      </c>
      <c r="O74" s="29" t="inlineStr">
        <is>
          <t>M8.4</t>
        </is>
      </c>
      <c r="P74" s="29" t="inlineStr">
        <is>
          <t>IO-14, IO-15</t>
        </is>
      </c>
      <c r="Q74" s="29" t="inlineStr">
        <is>
          <t>Zero leak/unauthorized action trên suite; source/lineage sau restore nhất quán; không tự tuyên bố tuân thủ pháp lý.</t>
        </is>
      </c>
      <c r="R74" s="29" t="inlineStr">
        <is>
          <t>SRC-02 §14–16,21; SRC-07 governance</t>
        </is>
      </c>
      <c r="S74" s="29" t="inlineStr">
        <is>
          <t>Core</t>
        </is>
      </c>
      <c r="T74" s="29">
        <f>'WBS'!J89</f>
        <v/>
      </c>
      <c r="U74" s="29" t="inlineStr">
        <is>
          <t>Chưa có — điền đường dẫn báo cáo/commit/demo sau khi thực hiện</t>
        </is>
      </c>
    </row>
    <row r="75" ht="62.25" customHeight="1">
      <c r="A75" s="35" t="inlineStr">
        <is>
          <t>M8.6</t>
        </is>
      </c>
      <c r="B75" s="27" t="inlineStr">
        <is>
          <t>M8</t>
        </is>
      </c>
      <c r="C75" s="27" t="inlineStr">
        <is>
          <t>UAT 5 vai trò và full regression</t>
        </is>
      </c>
      <c r="D75" s="28" t="n">
        <v>46412</v>
      </c>
      <c r="E75" s="28" t="n">
        <v>46412</v>
      </c>
      <c r="F75" s="27" t="inlineStr">
        <is>
          <t>AM</t>
        </is>
      </c>
      <c r="G75" s="27" t="n">
        <v>1</v>
      </c>
      <c r="H75" s="27" t="inlineStr">
        <is>
          <t>Trần Đình Khương</t>
        </is>
      </c>
      <c r="I75" s="27" t="inlineStr">
        <is>
          <t>QA / Product</t>
        </is>
      </c>
      <c r="J75" s="27" t="inlineStr">
        <is>
          <t>5 persona scripts + ≥100 queries + ≥50 resolution cases</t>
        </is>
      </c>
      <c r="K75" s="27" t="inlineStr">
        <is>
          <t>Chạy buyer, agent, analyst, PM, steward; end-to-end story firmware; rerun frozen AI suites; ghi bug/residual limitation; đối chiếu từng acceptance ID và nguồn.</t>
        </is>
      </c>
      <c r="L75" s="27" t="inlineStr">
        <is>
          <t>UAT matrix; recordings; final evaluation tables; coverage status</t>
        </is>
      </c>
      <c r="M75" s="27" t="inlineStr">
        <is>
          <t>MOD-01..MOD-12</t>
        </is>
      </c>
      <c r="N75" s="27" t="inlineStr">
        <is>
          <t>Browser tests; pytest; human rubric; Excel traceability</t>
        </is>
      </c>
      <c r="O75" s="27" t="inlineStr">
        <is>
          <t>M8.5</t>
        </is>
      </c>
      <c r="P75" s="27" t="inlineStr">
        <is>
          <t>IO-14</t>
        </is>
      </c>
      <c r="Q75" s="27" t="inlineStr">
        <is>
          <t>Mỗi story có API/UI/data/eval/audit/failure path; gate fail không đổi thành Done vì deadline.</t>
        </is>
      </c>
      <c r="R75" s="27" t="inlineStr">
        <is>
          <t>SRC-02 §19,21; SRC-03; SRC-04</t>
        </is>
      </c>
      <c r="S75" s="27" t="inlineStr">
        <is>
          <t>Core</t>
        </is>
      </c>
      <c r="T75" s="27">
        <f>'WBS'!J90</f>
        <v/>
      </c>
      <c r="U75" s="27" t="inlineStr">
        <is>
          <t>Chưa có — điền đường dẫn báo cáo/commit/demo sau khi thực hiện</t>
        </is>
      </c>
    </row>
    <row r="76" ht="62.25" customHeight="1">
      <c r="A76" s="36" t="inlineStr">
        <is>
          <t>M8.7</t>
        </is>
      </c>
      <c r="B76" s="29" t="inlineStr">
        <is>
          <t>M8</t>
        </is>
      </c>
      <c r="C76" s="29" t="inlineStr">
        <is>
          <t>Business KPI đối chiếu baseline</t>
        </is>
      </c>
      <c r="D76" s="30" t="n">
        <v>46413</v>
      </c>
      <c r="E76" s="30" t="n">
        <v>46413</v>
      </c>
      <c r="F76" s="29" t="inlineStr">
        <is>
          <t>AM</t>
        </is>
      </c>
      <c r="G76" s="29" t="n">
        <v>0.5</v>
      </c>
      <c r="H76" s="29" t="inlineStr">
        <is>
          <t>Trần Đình Khương</t>
        </is>
      </c>
      <c r="I76" s="29" t="inlineStr">
        <is>
          <t>Analytics / QA</t>
        </is>
      </c>
      <c r="J76" s="29" t="inlineStr">
        <is>
          <t>Manual/assisted timing, events and outcome samples</t>
        </is>
      </c>
      <c r="K76" s="29" t="inlineStr">
        <is>
          <t>Tính FRT/AHT/FCR/MTTR/CSAT/draft acceptance/reopen/cost; phân biệt synthetic replay và pilot thật; nêu sample size/time window; 40%/15% là mục tiêu chưa đảm bảo.</t>
        </is>
      </c>
      <c r="L76" s="29" t="inlineStr">
        <is>
          <t>Business KPI report; measurement limitations; post-demo pilot plan</t>
        </is>
      </c>
      <c r="M76" s="29" t="inlineStr">
        <is>
          <t>MOD-09, MOD-12</t>
        </is>
      </c>
      <c r="N76" s="29" t="inlineStr">
        <is>
          <t>SQL; Python; metric dictionary</t>
        </is>
      </c>
      <c r="O76" s="29" t="inlineStr">
        <is>
          <t>M8.6</t>
        </is>
      </c>
      <c r="P76" s="29" t="inlineStr">
        <is>
          <t>IO-11, IO-15</t>
        </is>
      </c>
      <c r="Q76" s="29" t="inlineStr">
        <is>
          <t>Không có real users thì business impact NOT VALIDATED; metric denominator rõ và không trộn % tương đối với điểm phần trăm.</t>
        </is>
      </c>
      <c r="R76" s="29" t="inlineStr">
        <is>
          <t>SRC-03; SRC-04; SRC-05 §9; DEC-04</t>
        </is>
      </c>
      <c r="S76" s="29" t="inlineStr">
        <is>
          <t>Core</t>
        </is>
      </c>
      <c r="T76" s="29">
        <f>'WBS'!J91</f>
        <v/>
      </c>
      <c r="U76" s="29" t="inlineStr">
        <is>
          <t>Chưa có — điền đường dẫn báo cáo/commit/demo sau khi thực hiện</t>
        </is>
      </c>
    </row>
    <row r="77" ht="62.25" customHeight="1">
      <c r="A77" s="35" t="inlineStr">
        <is>
          <t>M8.8</t>
        </is>
      </c>
      <c r="B77" s="27" t="inlineStr">
        <is>
          <t>M8</t>
        </is>
      </c>
      <c r="C77" s="27" t="inlineStr">
        <is>
          <t>Tài liệu bàn giao và bộ demo tái lập</t>
        </is>
      </c>
      <c r="D77" s="28" t="n">
        <v>46413</v>
      </c>
      <c r="E77" s="28" t="n">
        <v>46414</v>
      </c>
      <c r="F77" s="27" t="inlineStr">
        <is>
          <t>PM</t>
        </is>
      </c>
      <c r="G77" s="27" t="n">
        <v>1</v>
      </c>
      <c r="H77" s="27" t="inlineStr">
        <is>
          <t>Trần Đình Khương</t>
        </is>
      </c>
      <c r="I77" s="27" t="inlineStr">
        <is>
          <t>Documentation / QA</t>
        </is>
      </c>
      <c r="J77" s="27" t="inlineStr">
        <is>
          <t>Release manifest; all source/test/eval reports</t>
        </is>
      </c>
      <c r="K77" s="27" t="inlineStr">
        <is>
          <t>Quickstart, data/model cards, API docs, runbooks, demo scripts, scope ledger; presentation Problem→Users→Evidence→Resolution→Learn; ghi rõ conditional/deferred và cách tiếp tục.</t>
        </is>
      </c>
      <c r="L77" s="27" t="inlineStr">
        <is>
          <t>Final report; release archive; handover checklist; demo guide</t>
        </is>
      </c>
      <c r="M77" s="27" t="inlineStr">
        <is>
          <t>MOD-12</t>
        </is>
      </c>
      <c r="N77" s="27" t="inlineStr">
        <is>
          <t>Markdown; OpenAPI; Git; artifact manifest</t>
        </is>
      </c>
      <c r="O77" s="27" t="inlineStr">
        <is>
          <t>M8.7</t>
        </is>
      </c>
      <c r="P77" s="27" t="inlineStr">
        <is>
          <t>IO-15</t>
        </is>
      </c>
      <c r="Q77" s="27" t="inlineStr">
        <is>
          <t>Máy sạch có thể dựng bounded demo theo hướng dẫn; không dùng đường dẫn máy cá nhân trong docs mới; mọi claim có evidence.</t>
        </is>
      </c>
      <c r="R77" s="27" t="inlineStr">
        <is>
          <t>SRC-02 §21–22; SRC-15; SRC-16</t>
        </is>
      </c>
      <c r="S77" s="27" t="inlineStr">
        <is>
          <t>Core</t>
        </is>
      </c>
      <c r="T77" s="27">
        <f>'WBS'!J92</f>
        <v/>
      </c>
      <c r="U77" s="27" t="inlineStr">
        <is>
          <t>Chưa có — điền đường dẫn báo cáo/commit/demo sau khi thực hiện</t>
        </is>
      </c>
    </row>
    <row r="78" ht="62.25" customHeight="1">
      <c r="A78" s="36" t="inlineStr">
        <is>
          <t>M8.G</t>
        </is>
      </c>
      <c r="B78" s="29" t="inlineStr">
        <is>
          <t>M8</t>
        </is>
      </c>
      <c r="C78" s="29" t="inlineStr">
        <is>
          <t>G8 — Review, nghiệm thu và báo cáo giai đoạn</t>
        </is>
      </c>
      <c r="D78" s="30" t="n">
        <v>46414</v>
      </c>
      <c r="E78" s="30" t="n">
        <v>46414</v>
      </c>
      <c r="F78" s="29" t="inlineStr">
        <is>
          <t>PM</t>
        </is>
      </c>
      <c r="G78" s="29" t="n">
        <v>0.5</v>
      </c>
      <c r="H78" s="29" t="inlineStr">
        <is>
          <t>Trần Đình Khương</t>
        </is>
      </c>
      <c r="I78" s="29" t="inlineStr">
        <is>
          <t>QA / quản lý dự án</t>
        </is>
      </c>
      <c r="J78" s="29" t="inlineStr">
        <is>
          <t>Các đầu ra và test/eval của M8</t>
        </is>
      </c>
      <c r="K78" s="29" t="inlineStr">
        <is>
          <t>Chạy lại kịch bản nghiệm thu; đối chiếu yêu cầu; ghi PASS/FAIL/BLOCKED, số đo thực và kế hoạch sửa. Tự kiểm tra theo checklist; stakeholder xác nhận nếu có.</t>
        </is>
      </c>
      <c r="L78" s="29" t="inlineStr">
        <is>
          <t>docs/reports/milestones/m8-review.md; checklist; demo; manifest phiên bản</t>
        </is>
      </c>
      <c r="M78" s="29" t="inlineStr">
        <is>
          <t>MOD-12</t>
        </is>
      </c>
      <c r="N78" s="29" t="inlineStr">
        <is>
          <t>pytest; eval reports; Git</t>
        </is>
      </c>
      <c r="O78" s="29" t="inlineStr">
        <is>
          <t>M8.8</t>
        </is>
      </c>
      <c r="Q78" s="29" t="inlineStr">
        <is>
          <t>G8: demo 5 stories + quality/data/governance/release evidence; đánh giá riêng core demo, target quality, cloud và business validation; còn thiếu ghi OPEN.</t>
        </is>
      </c>
      <c r="R78" s="29" t="inlineStr">
        <is>
          <t>SRC-02 §21; SRC-03; SRC-04; SRC-07</t>
        </is>
      </c>
      <c r="S78" s="29" t="inlineStr">
        <is>
          <t>Gate</t>
        </is>
      </c>
      <c r="T78" s="29">
        <f>'WBS'!J93</f>
        <v/>
      </c>
      <c r="U78" s="29" t="inlineStr">
        <is>
          <t>Chưa có — điền đường dẫn báo cáo/commit/demo sau khi thực hiện</t>
        </is>
      </c>
    </row>
    <row r="79" ht="45.75" customHeight="1">
      <c r="A79" s="35" t="inlineStr">
        <is>
          <t>M8.B</t>
        </is>
      </c>
      <c r="B79" s="27" t="inlineStr">
        <is>
          <t>M8</t>
        </is>
      </c>
      <c r="C79" s="27" t="inlineStr">
        <is>
          <t>Dự phòng sửa lỗi, tích hợp hoặc nghỉ theo lịch thực tế</t>
        </is>
      </c>
      <c r="D79" s="28" t="n">
        <v>46415</v>
      </c>
      <c r="E79" s="28" t="n">
        <v>46416</v>
      </c>
      <c r="F79" s="27" t="inlineStr">
        <is>
          <t>AM</t>
        </is>
      </c>
      <c r="G79" s="27" t="n">
        <v>2</v>
      </c>
      <c r="H79" s="27" t="inlineStr">
        <is>
          <t>Trần Đình Khương</t>
        </is>
      </c>
      <c r="I79" s="27" t="inlineStr">
        <is>
          <t>Dự phòng</t>
        </is>
      </c>
      <c r="J79" s="27" t="inlineStr">
        <is>
          <t>Blocker/failed gate hoặc ngày nghỉ đã xác nhận</t>
        </is>
      </c>
      <c r="K79" s="27" t="inlineStr">
        <is>
          <t>Ưu tiên sửa gate của giai đoạn; nếu chưa dùng thì giữ quỹ dự phòng. Không tự bổ sung tính năng.</t>
        </is>
      </c>
      <c r="L79" s="27" t="inlineStr">
        <is>
          <t>Gate được kiểm tra lại; nhật ký sử dụng dự phòng và lịch cập nhật</t>
        </is>
      </c>
      <c r="M79" s="27" t="inlineStr">
        <is>
          <t>MOD-12</t>
        </is>
      </c>
      <c r="N79" s="27" t="inlineStr">
        <is>
          <t>Issue log; regression tests</t>
        </is>
      </c>
      <c r="O79" s="27" t="inlineStr">
        <is>
          <t>RESERVE — không phải quan hệ finish-to-start</t>
        </is>
      </c>
      <c r="Q79" s="27" t="inlineStr">
        <is>
          <t>Không vượt ngày kết thúc giai đoạn; nếu vượt phải rebaseline, không đánh dấu Done khi gate fail.</t>
        </is>
      </c>
      <c r="R79" s="27" t="inlineStr">
        <is>
          <t>DEC-01; DEC-02</t>
        </is>
      </c>
      <c r="S79" s="27" t="inlineStr">
        <is>
          <t>Buffer</t>
        </is>
      </c>
      <c r="T79" s="27">
        <f>'WBS'!J94</f>
        <v/>
      </c>
      <c r="U79" s="27" t="inlineStr">
        <is>
          <t>Chưa có — điền đường dẫn báo cáo/commit/demo sau khi thực hiện</t>
        </is>
      </c>
    </row>
  </sheetData>
  <autoFilter ref="A4:U79"/>
  <mergeCells count="2">
    <mergeCell ref="A1:J1"/>
    <mergeCell ref="A2:J2"/>
  </mergeCells>
  <hyperlinks>
    <hyperlink ref="A3" location="'Cover Page'!A1" display="← Cover Page"/>
    <hyperlink ref="A5" location="'WBS'!D12" display="M0.1"/>
    <hyperlink ref="A6" location="'WBS'!D13" display="M0.2"/>
    <hyperlink ref="A7" location="'WBS'!D14" display="M0.3"/>
    <hyperlink ref="A8" location="'WBS'!D15" display="M0.4"/>
    <hyperlink ref="A9" location="'WBS'!D16" display="M0.G"/>
    <hyperlink ref="A10" location="'WBS'!D17" display="M0.B"/>
    <hyperlink ref="A11" location="'WBS'!D19" display="M1.1"/>
    <hyperlink ref="A12" location="'WBS'!D20" display="M1.2"/>
    <hyperlink ref="A13" location="'WBS'!D21" display="M1.3"/>
    <hyperlink ref="A14" location="'WBS'!D22" display="M1.4"/>
    <hyperlink ref="A15" location="'WBS'!D23" display="M1.G"/>
    <hyperlink ref="A16" location="'WBS'!D24" display="M1.B"/>
    <hyperlink ref="A17" location="'WBS'!D26" display="M2.1"/>
    <hyperlink ref="A18" location="'WBS'!D27" display="M2.2"/>
    <hyperlink ref="A19" location="'WBS'!D28" display="M2.3"/>
    <hyperlink ref="A20" location="'WBS'!D29" display="M2.4"/>
    <hyperlink ref="A21" location="'WBS'!D30" display="M2.5"/>
    <hyperlink ref="A22" location="'WBS'!D31" display="M2.6"/>
    <hyperlink ref="A23" location="'WBS'!D32" display="M2.7"/>
    <hyperlink ref="A24" location="'WBS'!D33" display="M2.8"/>
    <hyperlink ref="A25" location="'WBS'!D34" display="M2.G"/>
    <hyperlink ref="A26" location="'WBS'!D35" display="M2.B"/>
    <hyperlink ref="A27" location="'WBS'!D37" display="M3.1"/>
    <hyperlink ref="A28" location="'WBS'!D38" display="M3.2"/>
    <hyperlink ref="A29" location="'WBS'!D39" display="M3.3"/>
    <hyperlink ref="A30" location="'WBS'!D40" display="M3.4"/>
    <hyperlink ref="A31" location="'WBS'!D41" display="M3.5"/>
    <hyperlink ref="A32" location="'WBS'!D42" display="M3.6"/>
    <hyperlink ref="A33" location="'WBS'!D43" display="M3.7"/>
    <hyperlink ref="A34" location="'WBS'!D44" display="M3.8"/>
    <hyperlink ref="A35" location="'WBS'!D45" display="M3.G"/>
    <hyperlink ref="A36" location="'WBS'!D46" display="M3.B"/>
    <hyperlink ref="A37" location="'WBS'!D48" display="M4.1"/>
    <hyperlink ref="A38" location="'WBS'!D49" display="M4.2"/>
    <hyperlink ref="A39" location="'WBS'!D50" display="M4.3"/>
    <hyperlink ref="A40" location="'WBS'!D51" display="M4.4"/>
    <hyperlink ref="A41" location="'WBS'!D52" display="M4.5"/>
    <hyperlink ref="A42" location="'WBS'!D53" display="M4.6"/>
    <hyperlink ref="A43" location="'WBS'!D54" display="M4.7"/>
    <hyperlink ref="A44" location="'WBS'!D55" display="M4.G"/>
    <hyperlink ref="A45" location="'WBS'!D56" display="M4.B"/>
    <hyperlink ref="A46" location="'WBS'!D58" display="M5.1"/>
    <hyperlink ref="A47" location="'WBS'!D59" display="M5.2"/>
    <hyperlink ref="A48" location="'WBS'!D60" display="M5.3"/>
    <hyperlink ref="A49" location="'WBS'!D61" display="M5.4"/>
    <hyperlink ref="A50" location="'WBS'!D62" display="M5.G"/>
    <hyperlink ref="A51" location="'WBS'!D63" display="M5.B"/>
    <hyperlink ref="A52" location="'WBS'!D65" display="M6.1"/>
    <hyperlink ref="A53" location="'WBS'!D66" display="M6.2"/>
    <hyperlink ref="A54" location="'WBS'!D67" display="M6.3"/>
    <hyperlink ref="A55" location="'WBS'!D68" display="M6.4"/>
    <hyperlink ref="A56" location="'WBS'!D69" display="M6.5"/>
    <hyperlink ref="A57" location="'WBS'!D70" display="M6.6"/>
    <hyperlink ref="A58" location="'WBS'!D71" display="M6.7"/>
    <hyperlink ref="A59" location="'WBS'!D72" display="M6.8"/>
    <hyperlink ref="A60" location="'WBS'!D73" display="M6.9"/>
    <hyperlink ref="A61" location="'WBS'!D74" display="M6.G"/>
    <hyperlink ref="A62" location="'WBS'!D75" display="M6.B"/>
    <hyperlink ref="A63" location="'WBS'!D77" display="M7.1"/>
    <hyperlink ref="A64" location="'WBS'!D78" display="M7.2"/>
    <hyperlink ref="A65" location="'WBS'!D79" display="M7.3"/>
    <hyperlink ref="A66" location="'WBS'!D80" display="M7.4"/>
    <hyperlink ref="A67" location="'WBS'!D81" display="M7.5"/>
    <hyperlink ref="A68" location="'WBS'!D82" display="M7.G"/>
    <hyperlink ref="A69" location="'WBS'!D83" display="M7.B"/>
    <hyperlink ref="A70" location="'WBS'!D85" display="M8.1"/>
    <hyperlink ref="A71" location="'WBS'!D86" display="M8.2"/>
    <hyperlink ref="A72" location="'WBS'!D87" display="M8.3"/>
    <hyperlink ref="A73" location="'WBS'!D88" display="M8.4"/>
    <hyperlink ref="A74" location="'WBS'!D89" display="M8.5"/>
    <hyperlink ref="A75" location="'WBS'!D90" display="M8.6"/>
    <hyperlink ref="A76" location="'WBS'!D91" display="M8.7"/>
    <hyperlink ref="A77" location="'WBS'!D92" display="M8.8"/>
    <hyperlink ref="A78" location="'WBS'!D93" display="M8.G"/>
    <hyperlink ref="A79" location="'WBS'!D94" display="M8.B"/>
  </hyperlinks>
  <pageMargins left="0.7" right="0.7" top="0.75" bottom="0.75" header="0.3" footer="0.3"/>
  <pageSetup orientation="landscape" paperSize="8" fitToHeight="0"/>
  <headerFooter>
    <oddHeader/>
    <oddFooter>&amp;CSenticRAG | Kế hoạch triển khai |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087E8B"/>
    <outlinePr summaryBelow="1" summaryRight="1"/>
    <pageSetUpPr fitToPage="1"/>
  </sheetPr>
  <dimension ref="A1:J18"/>
  <sheetViews>
    <sheetView showGridLines="0" zoomScale="85" zoomScaleNormal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.7109375" customWidth="1" min="1" max="1"/>
    <col width="15.7109375" customWidth="1" min="2" max="3"/>
    <col width="25.7109375" customWidth="1" min="4" max="4"/>
    <col width="18.7109375" customWidth="1" min="5" max="7"/>
    <col width="22.7109375" customWidth="1" min="8" max="8"/>
    <col width="75.7109375" customWidth="1" min="9" max="9"/>
    <col width="32.7109375" customWidth="1" min="10" max="10"/>
  </cols>
  <sheetData>
    <row r="1" ht="36" customHeight="1">
      <c r="A1" s="7" t="inlineStr">
        <is>
          <t>CAPACITY | một người, không xếp chồng công việc</t>
        </is>
      </c>
    </row>
    <row r="2" ht="36" customHeight="1">
      <c r="A2" s="8" t="inlineStr">
        <is>
          <t>70 weekday slots = 60 ngày công core/gate + 9 ngày dự phòng + 1 ngày nghỉ dự kiến 01/01. Thời gian chờ GPU/API không tự được coi là nhân lực bổ sung.</t>
        </is>
      </c>
    </row>
    <row r="3">
      <c r="A3" s="9" t="inlineStr">
        <is>
          <t>← Cover Page</t>
        </is>
      </c>
    </row>
    <row r="4" ht="33.75" customHeight="1">
      <c r="A4" s="26" t="inlineStr">
        <is>
          <t>Tuần</t>
        </is>
      </c>
      <c r="B4" s="26" t="inlineStr">
        <is>
          <t>Từ</t>
        </is>
      </c>
      <c r="C4" s="26" t="inlineStr">
        <is>
          <t>Đến</t>
        </is>
      </c>
      <c r="D4" s="26" t="inlineStr">
        <is>
          <t>Người</t>
        </is>
      </c>
      <c r="E4" s="26" t="inlineStr">
        <is>
          <t>Core/gate days</t>
        </is>
      </c>
      <c r="F4" s="26" t="inlineStr">
        <is>
          <t>Buffer days</t>
        </is>
      </c>
      <c r="G4" s="26" t="inlineStr">
        <is>
          <t>Nghỉ dự kiến</t>
        </is>
      </c>
      <c r="H4" s="26" t="inlineStr">
        <is>
          <t>Tổng weekday slots</t>
        </is>
      </c>
      <c r="I4" s="26" t="inlineStr">
        <is>
          <t>Các task trong tuần</t>
        </is>
      </c>
      <c r="J4" s="26" t="inlineStr">
        <is>
          <t>Kiểm tải</t>
        </is>
      </c>
    </row>
    <row r="5" ht="35.25" customHeight="1">
      <c r="A5" s="27" t="inlineStr">
        <is>
          <t>W1</t>
        </is>
      </c>
      <c r="B5" s="28" t="n">
        <v>46321</v>
      </c>
      <c r="C5" s="28" t="n">
        <v>46325</v>
      </c>
      <c r="D5" s="27" t="inlineStr">
        <is>
          <t>Trần Đình Khương</t>
        </is>
      </c>
      <c r="E5" s="27" t="n">
        <v>4</v>
      </c>
      <c r="F5" s="27" t="n">
        <v>1</v>
      </c>
      <c r="G5" s="27" t="n">
        <v>0</v>
      </c>
      <c r="H5" s="27" t="n">
        <v>5</v>
      </c>
      <c r="I5" s="27" t="inlineStr">
        <is>
          <t>M0.1, M0.2, M0.3, M0.4, M0.G, M0.B</t>
        </is>
      </c>
      <c r="J5" s="27" t="inlineStr">
        <is>
          <t>PASS — không chồng lịch</t>
        </is>
      </c>
    </row>
    <row r="6" ht="35.25" customHeight="1">
      <c r="A6" s="29" t="inlineStr">
        <is>
          <t>W2</t>
        </is>
      </c>
      <c r="B6" s="30" t="n">
        <v>46328</v>
      </c>
      <c r="C6" s="30" t="n">
        <v>46332</v>
      </c>
      <c r="D6" s="29" t="inlineStr">
        <is>
          <t>Trần Đình Khương</t>
        </is>
      </c>
      <c r="E6" s="29" t="n">
        <v>4</v>
      </c>
      <c r="F6" s="29" t="n">
        <v>1</v>
      </c>
      <c r="G6" s="29" t="n">
        <v>0</v>
      </c>
      <c r="H6" s="29" t="n">
        <v>5</v>
      </c>
      <c r="I6" s="29" t="inlineStr">
        <is>
          <t>M1.1, M1.2, M1.3, M1.4, M1.G, M1.B</t>
        </is>
      </c>
      <c r="J6" s="29" t="inlineStr">
        <is>
          <t>PASS — không chồng lịch</t>
        </is>
      </c>
    </row>
    <row r="7" ht="35.25" customHeight="1">
      <c r="A7" s="27" t="inlineStr">
        <is>
          <t>W3</t>
        </is>
      </c>
      <c r="B7" s="28" t="n">
        <v>46335</v>
      </c>
      <c r="C7" s="28" t="n">
        <v>46339</v>
      </c>
      <c r="D7" s="27" t="inlineStr">
        <is>
          <t>Trần Đình Khương</t>
        </is>
      </c>
      <c r="E7" s="27" t="n">
        <v>5</v>
      </c>
      <c r="F7" s="27" t="n">
        <v>0</v>
      </c>
      <c r="G7" s="27" t="n">
        <v>0</v>
      </c>
      <c r="H7" s="27" t="n">
        <v>5</v>
      </c>
      <c r="I7" s="27" t="inlineStr">
        <is>
          <t>M2.1, M2.2, M2.3, M2.4, M2.5</t>
        </is>
      </c>
      <c r="J7" s="27" t="inlineStr">
        <is>
          <t>PASS — không chồng lịch</t>
        </is>
      </c>
    </row>
    <row r="8" ht="35.25" customHeight="1">
      <c r="A8" s="29" t="inlineStr">
        <is>
          <t>W4</t>
        </is>
      </c>
      <c r="B8" s="30" t="n">
        <v>46342</v>
      </c>
      <c r="C8" s="30" t="n">
        <v>46346</v>
      </c>
      <c r="D8" s="29" t="inlineStr">
        <is>
          <t>Trần Đình Khương</t>
        </is>
      </c>
      <c r="E8" s="29" t="n">
        <v>4</v>
      </c>
      <c r="F8" s="29" t="n">
        <v>1</v>
      </c>
      <c r="G8" s="29" t="n">
        <v>0</v>
      </c>
      <c r="H8" s="29" t="n">
        <v>5</v>
      </c>
      <c r="I8" s="29" t="inlineStr">
        <is>
          <t>M2.5, M2.6, M2.7, M2.8, M2.G, M2.B</t>
        </is>
      </c>
      <c r="J8" s="29" t="inlineStr">
        <is>
          <t>PASS — không chồng lịch</t>
        </is>
      </c>
    </row>
    <row r="9" ht="35.25" customHeight="1">
      <c r="A9" s="27" t="inlineStr">
        <is>
          <t>W5</t>
        </is>
      </c>
      <c r="B9" s="28" t="n">
        <v>46349</v>
      </c>
      <c r="C9" s="28" t="n">
        <v>46353</v>
      </c>
      <c r="D9" s="27" t="inlineStr">
        <is>
          <t>Trần Đình Khương</t>
        </is>
      </c>
      <c r="E9" s="27" t="n">
        <v>5</v>
      </c>
      <c r="F9" s="27" t="n">
        <v>0</v>
      </c>
      <c r="G9" s="27" t="n">
        <v>0</v>
      </c>
      <c r="H9" s="27" t="n">
        <v>5</v>
      </c>
      <c r="I9" s="27" t="inlineStr">
        <is>
          <t>M3.1, M3.2, M3.3, M3.4, M3.5</t>
        </is>
      </c>
      <c r="J9" s="27" t="inlineStr">
        <is>
          <t>PASS — không chồng lịch</t>
        </is>
      </c>
    </row>
    <row r="10" ht="35.25" customHeight="1">
      <c r="A10" s="29" t="inlineStr">
        <is>
          <t>W6</t>
        </is>
      </c>
      <c r="B10" s="30" t="n">
        <v>46356</v>
      </c>
      <c r="C10" s="30" t="n">
        <v>46360</v>
      </c>
      <c r="D10" s="29" t="inlineStr">
        <is>
          <t>Trần Đình Khương</t>
        </is>
      </c>
      <c r="E10" s="29" t="n">
        <v>4</v>
      </c>
      <c r="F10" s="29" t="n">
        <v>1</v>
      </c>
      <c r="G10" s="29" t="n">
        <v>0</v>
      </c>
      <c r="H10" s="29" t="n">
        <v>5</v>
      </c>
      <c r="I10" s="29" t="inlineStr">
        <is>
          <t>M3.5, M3.6, M3.7, M3.8, M3.G, M3.B</t>
        </is>
      </c>
      <c r="J10" s="29" t="inlineStr">
        <is>
          <t>PASS — không chồng lịch</t>
        </is>
      </c>
    </row>
    <row r="11" ht="35.25" customHeight="1">
      <c r="A11" s="27" t="inlineStr">
        <is>
          <t>W7</t>
        </is>
      </c>
      <c r="B11" s="28" t="n">
        <v>46363</v>
      </c>
      <c r="C11" s="28" t="n">
        <v>46367</v>
      </c>
      <c r="D11" s="27" t="inlineStr">
        <is>
          <t>Trần Đình Khương</t>
        </is>
      </c>
      <c r="E11" s="27" t="n">
        <v>5</v>
      </c>
      <c r="F11" s="27" t="n">
        <v>0</v>
      </c>
      <c r="G11" s="27" t="n">
        <v>0</v>
      </c>
      <c r="H11" s="27" t="n">
        <v>5</v>
      </c>
      <c r="I11" s="27" t="inlineStr">
        <is>
          <t>M4.1, M4.2, M4.3, M4.4</t>
        </is>
      </c>
      <c r="J11" s="27" t="inlineStr">
        <is>
          <t>PASS — không chồng lịch</t>
        </is>
      </c>
    </row>
    <row r="12" ht="35.25" customHeight="1">
      <c r="A12" s="29" t="inlineStr">
        <is>
          <t>W8</t>
        </is>
      </c>
      <c r="B12" s="30" t="n">
        <v>46370</v>
      </c>
      <c r="C12" s="30" t="n">
        <v>46374</v>
      </c>
      <c r="D12" s="29" t="inlineStr">
        <is>
          <t>Trần Đình Khương</t>
        </is>
      </c>
      <c r="E12" s="29" t="n">
        <v>4</v>
      </c>
      <c r="F12" s="29" t="n">
        <v>1</v>
      </c>
      <c r="G12" s="29" t="n">
        <v>0</v>
      </c>
      <c r="H12" s="29" t="n">
        <v>5</v>
      </c>
      <c r="I12" s="29" t="inlineStr">
        <is>
          <t>M4.5, M4.6, M4.7, M4.G, M4.B</t>
        </is>
      </c>
      <c r="J12" s="29" t="inlineStr">
        <is>
          <t>PASS — không chồng lịch</t>
        </is>
      </c>
    </row>
    <row r="13" ht="35.25" customHeight="1">
      <c r="A13" s="27" t="inlineStr">
        <is>
          <t>W9</t>
        </is>
      </c>
      <c r="B13" s="28" t="n">
        <v>46377</v>
      </c>
      <c r="C13" s="28" t="n">
        <v>46381</v>
      </c>
      <c r="D13" s="27" t="inlineStr">
        <is>
          <t>Trần Đình Khương</t>
        </is>
      </c>
      <c r="E13" s="27" t="n">
        <v>4</v>
      </c>
      <c r="F13" s="27" t="n">
        <v>1</v>
      </c>
      <c r="G13" s="27" t="n">
        <v>0</v>
      </c>
      <c r="H13" s="27" t="n">
        <v>5</v>
      </c>
      <c r="I13" s="27" t="inlineStr">
        <is>
          <t>M5.1, M5.2, M5.3, M5.4, M5.G, M5.B</t>
        </is>
      </c>
      <c r="J13" s="27" t="inlineStr">
        <is>
          <t>PASS — không chồng lịch</t>
        </is>
      </c>
    </row>
    <row r="14" ht="35.25" customHeight="1">
      <c r="A14" s="29" t="inlineStr">
        <is>
          <t>W10</t>
        </is>
      </c>
      <c r="B14" s="30" t="n">
        <v>46384</v>
      </c>
      <c r="C14" s="30" t="n">
        <v>46388</v>
      </c>
      <c r="D14" s="29" t="inlineStr">
        <is>
          <t>Trần Đình Khương</t>
        </is>
      </c>
      <c r="E14" s="29" t="n">
        <v>4</v>
      </c>
      <c r="F14" s="29" t="n">
        <v>0</v>
      </c>
      <c r="G14" s="29" t="n">
        <v>1</v>
      </c>
      <c r="H14" s="29" t="n">
        <v>5</v>
      </c>
      <c r="I14" s="29" t="inlineStr">
        <is>
          <t>M6.1, M6.2, M6.3, M6.4, M6.B</t>
        </is>
      </c>
      <c r="J14" s="29" t="inlineStr">
        <is>
          <t>PASS — không chồng lịch</t>
        </is>
      </c>
    </row>
    <row r="15" ht="35.25" customHeight="1">
      <c r="A15" s="27" t="inlineStr">
        <is>
          <t>W11</t>
        </is>
      </c>
      <c r="B15" s="28" t="n">
        <v>46391</v>
      </c>
      <c r="C15" s="28" t="n">
        <v>46395</v>
      </c>
      <c r="D15" s="27" t="inlineStr">
        <is>
          <t>Trần Đình Khương</t>
        </is>
      </c>
      <c r="E15" s="27" t="n">
        <v>5</v>
      </c>
      <c r="F15" s="27" t="n">
        <v>0</v>
      </c>
      <c r="G15" s="27" t="n">
        <v>0</v>
      </c>
      <c r="H15" s="27" t="n">
        <v>5</v>
      </c>
      <c r="I15" s="27" t="inlineStr">
        <is>
          <t>M6.5, M6.6, M6.7, M6.8, M6.9, M6.G</t>
        </is>
      </c>
      <c r="J15" s="27" t="inlineStr">
        <is>
          <t>PASS — không chồng lịch</t>
        </is>
      </c>
    </row>
    <row r="16" ht="35.25" customHeight="1">
      <c r="A16" s="29" t="inlineStr">
        <is>
          <t>W12</t>
        </is>
      </c>
      <c r="B16" s="30" t="n">
        <v>46398</v>
      </c>
      <c r="C16" s="30" t="n">
        <v>46402</v>
      </c>
      <c r="D16" s="29" t="inlineStr">
        <is>
          <t>Trần Đình Khương</t>
        </is>
      </c>
      <c r="E16" s="29" t="n">
        <v>4</v>
      </c>
      <c r="F16" s="29" t="n">
        <v>1</v>
      </c>
      <c r="G16" s="29" t="n">
        <v>0</v>
      </c>
      <c r="H16" s="29" t="n">
        <v>5</v>
      </c>
      <c r="I16" s="29" t="inlineStr">
        <is>
          <t>M7.1, M7.2, M7.3, M7.4, M7.5, M7.G, M7.B</t>
        </is>
      </c>
      <c r="J16" s="29" t="inlineStr">
        <is>
          <t>PASS — không chồng lịch</t>
        </is>
      </c>
    </row>
    <row r="17" ht="35.25" customHeight="1">
      <c r="A17" s="27" t="inlineStr">
        <is>
          <t>W13</t>
        </is>
      </c>
      <c r="B17" s="28" t="n">
        <v>46405</v>
      </c>
      <c r="C17" s="28" t="n">
        <v>46409</v>
      </c>
      <c r="D17" s="27" t="inlineStr">
        <is>
          <t>Trần Đình Khương</t>
        </is>
      </c>
      <c r="E17" s="27" t="n">
        <v>5</v>
      </c>
      <c r="F17" s="27" t="n">
        <v>0</v>
      </c>
      <c r="G17" s="27" t="n">
        <v>0</v>
      </c>
      <c r="H17" s="27" t="n">
        <v>5</v>
      </c>
      <c r="I17" s="27" t="inlineStr">
        <is>
          <t>M8.1, M8.2, M8.3, M8.4, M8.5</t>
        </is>
      </c>
      <c r="J17" s="27" t="inlineStr">
        <is>
          <t>PASS — không chồng lịch</t>
        </is>
      </c>
    </row>
    <row r="18" ht="35.25" customHeight="1">
      <c r="A18" s="29" t="inlineStr">
        <is>
          <t>W14</t>
        </is>
      </c>
      <c r="B18" s="30" t="n">
        <v>46412</v>
      </c>
      <c r="C18" s="30" t="n">
        <v>46416</v>
      </c>
      <c r="D18" s="29" t="inlineStr">
        <is>
          <t>Trần Đình Khương</t>
        </is>
      </c>
      <c r="E18" s="29" t="n">
        <v>3</v>
      </c>
      <c r="F18" s="29" t="n">
        <v>2</v>
      </c>
      <c r="G18" s="29" t="n">
        <v>0</v>
      </c>
      <c r="H18" s="29" t="n">
        <v>5</v>
      </c>
      <c r="I18" s="29" t="inlineStr">
        <is>
          <t>M8.6, M8.7, M8.8, M8.G, M8.B</t>
        </is>
      </c>
      <c r="J18" s="29" t="inlineStr">
        <is>
          <t>PASS — không chồng lịch</t>
        </is>
      </c>
    </row>
  </sheetData>
  <autoFilter ref="A4:J18"/>
  <mergeCells count="2">
    <mergeCell ref="A1:J1"/>
    <mergeCell ref="A2:J2"/>
  </mergeCells>
  <hyperlinks>
    <hyperlink ref="A3" location="'Cover Page'!A1" display="← Cover Page"/>
  </hyperlinks>
  <pageMargins left="0.7" right="0.7" top="0.75" bottom="0.75" header="0.3" footer="0.3"/>
  <pageSetup orientation="landscape" paperSize="8" fitToHeight="0"/>
  <headerFooter>
    <oddHeader/>
    <oddFooter>&amp;CSenticRAG | Kế hoạch triển khai |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FF087E8B"/>
    <outlinePr summaryBelow="1" summaryRight="1"/>
    <pageSetUpPr fitToPage="1"/>
  </sheetPr>
  <dimension ref="A1:L16"/>
  <sheetViews>
    <sheetView showGridLines="0" zoomScale="85" zoomScaleNormal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.7109375" customWidth="1" min="1" max="1"/>
    <col width="38.7109375" customWidth="1" min="2" max="2"/>
    <col width="30.7109375" customWidth="1" min="3" max="3"/>
    <col width="42.7109375" customWidth="1" min="4" max="4"/>
    <col width="55.7109375" customWidth="1" min="5" max="5"/>
    <col width="58.7109375" customWidth="1" min="6" max="6"/>
    <col width="75.7109375" customWidth="1" min="7" max="7"/>
    <col width="65.7109375" customWidth="1" min="8" max="8"/>
    <col width="58.7109375" customWidth="1" min="9" max="10"/>
    <col width="40.7109375" customWidth="1" min="11" max="11"/>
    <col width="80.7109375" customWidth="1" min="12" max="12"/>
  </cols>
  <sheetData>
    <row r="1" ht="36" customHeight="1">
      <c r="A1" s="7" t="inlineStr">
        <is>
          <t>MODULE CATALOG | trách nhiệm và ranh giới</t>
        </is>
      </c>
    </row>
    <row r="2" ht="36" customHeight="1">
      <c r="A2" s="8" t="inlineStr">
        <is>
          <t>MOD-xx là module năng lực; M0–M8 là giai đoạn bàn giao. Tên thư mục “mới” là đề xuất cần tạo, không phải code đã tồn tại.</t>
        </is>
      </c>
    </row>
    <row r="3">
      <c r="A3" s="9" t="inlineStr">
        <is>
          <t>← Cover Page</t>
        </is>
      </c>
    </row>
    <row r="4" ht="33.75" customHeight="1">
      <c r="A4" s="26" t="inlineStr">
        <is>
          <t>Module ID</t>
        </is>
      </c>
      <c r="B4" s="26" t="inlineStr">
        <is>
          <t>Tên module</t>
        </is>
      </c>
      <c r="C4" s="26" t="inlineStr">
        <is>
          <t>Giai đoạn</t>
        </is>
      </c>
      <c r="D4" s="26" t="inlineStr">
        <is>
          <t>User stories</t>
        </is>
      </c>
      <c r="E4" s="26" t="inlineStr">
        <is>
          <t>Input</t>
        </is>
      </c>
      <c r="F4" s="26" t="inlineStr">
        <is>
          <t>Output</t>
        </is>
      </c>
      <c r="G4" s="26" t="inlineStr">
        <is>
          <t>Trách nhiệm</t>
        </is>
      </c>
      <c r="H4" s="26" t="inlineStr">
        <is>
          <t>Vị trí trong repo</t>
        </is>
      </c>
      <c r="I4" s="26" t="inlineStr">
        <is>
          <t>Công nghệ</t>
        </is>
      </c>
      <c r="J4" s="26" t="inlineStr">
        <is>
          <t>Contract/API</t>
        </is>
      </c>
      <c r="K4" s="26" t="inlineStr">
        <is>
          <t>Phụ thuộc</t>
        </is>
      </c>
      <c r="L4" s="26" t="inlineStr">
        <is>
          <t>Ranh giới / quyết định</t>
        </is>
      </c>
    </row>
    <row r="5" ht="45.75" customHeight="1">
      <c r="A5" s="27" t="inlineStr">
        <is>
          <t>MOD-01</t>
        </is>
      </c>
      <c r="B5" s="27" t="inlineStr">
        <is>
          <t>Chatbot &amp; conversation</t>
        </is>
      </c>
      <c r="C5" s="27" t="inlineStr">
        <is>
          <t>M0–M3; enrich M4/M6</t>
        </is>
      </c>
      <c r="D5" s="27" t="inlineStr">
        <is>
          <t>US-BUY-01</t>
        </is>
      </c>
      <c r="E5" s="27" t="inlineStr">
        <is>
          <t>Message + authenticated session + permitted history</t>
        </is>
      </c>
      <c r="F5" s="27" t="inlineStr">
        <is>
          <t>Answer/citations/clarification/handoff; persisted messages</t>
        </is>
      </c>
      <c r="G5" s="27" t="inlineStr">
        <is>
          <t>Session ownership; sliding buffer/summary; intent/follow-up; orchestration; buyer UI</t>
        </is>
      </c>
      <c r="H5" s="27" t="inlineStr">
        <is>
          <t>apps/api; packages/conversation (mới); apps/web/src/features/buyer-chat (mới)</t>
        </is>
      </c>
      <c r="I5" s="27" t="inlineStr">
        <is>
          <t>FastAPI; PostgreSQL; Redis; React/TypeScript</t>
        </is>
      </c>
      <c r="J5" s="27" t="inlineStr">
        <is>
          <t>IO-01, IO-02; POST /api/v1/chat/messages (mới)</t>
        </is>
      </c>
      <c r="K5" s="27" t="inlineStr">
        <is>
          <t>MOD-02/03/04; optional 05/06/07/08</t>
        </is>
      </c>
      <c r="L5" s="27" t="inlineStr">
        <is>
          <t>Không bắt ChatRequest phải có product/order. Order tool chỉ chạy sau xác thực. Backend modular monolith, worker riêng khi cần.</t>
        </is>
      </c>
    </row>
    <row r="6" ht="45.75" customHeight="1">
      <c r="A6" s="29" t="inlineStr">
        <is>
          <t>MOD-02</t>
        </is>
      </c>
      <c r="B6" s="29" t="inlineStr">
        <is>
          <t>Data ingestion &amp; knowledge preparation</t>
        </is>
      </c>
      <c r="C6" s="29" t="inlineStr">
        <is>
          <t>M1; M4; M7</t>
        </is>
      </c>
      <c r="D6" s="29" t="inlineStr">
        <is>
          <t>ALL</t>
        </is>
      </c>
      <c r="E6" s="29" t="inlineStr">
        <is>
          <t>Crawler exports, docs, reviews/tickets/chats</t>
        </is>
      </c>
      <c r="F6" s="29" t="inlineStr">
        <is>
          <t>Validated/masked records; chunks; manifests; rejected records</t>
        </is>
      </c>
      <c r="G6" s="29" t="inlineStr">
        <is>
          <t>Parse/clean/dedup/chunk; immutable ingest log; PII boundary; source/rights; queue/retry/DLQ</t>
        </is>
      </c>
      <c r="H6" s="29" t="inlineStr">
        <is>
          <t>pipelines/ingest_feedback; pii_masking; policy_ingestion; apps/worker; adapter đọc Data_crawling</t>
        </is>
      </c>
      <c r="I6" s="29" t="inlineStr">
        <is>
          <t>Python; Pydantic; JSONL/Parquet; PostgreSQL; Redis Streams</t>
        </is>
      </c>
      <c r="J6" s="29" t="inlineStr">
        <is>
          <t>IO-03, IO-04; POST /api/v1/ingest/feedback</t>
        </is>
      </c>
      <c r="K6" s="29" t="inlineStr">
        <is>
          <t>MOD-12</t>
        </is>
      </c>
      <c r="L6" s="29" t="inlineStr">
        <is>
          <t>Giữ Data_crawling độc lập; ứng dụng đọc export, không import crawler runtime hoặc sửa scope crawler.</t>
        </is>
      </c>
    </row>
    <row r="7" ht="45.75" customHeight="1">
      <c r="A7" s="27" t="inlineStr">
        <is>
          <t>MOD-03</t>
        </is>
      </c>
      <c r="B7" s="27" t="inlineStr">
        <is>
          <t>LLM generation &amp; guardrails</t>
        </is>
      </c>
      <c r="C7" s="27" t="inlineStr">
        <is>
          <t>M2; M3; M6</t>
        </is>
      </c>
      <c r="D7" s="27" t="inlineStr">
        <is>
          <t>US-BUY-01; US-AGENT-01</t>
        </is>
      </c>
      <c r="E7" s="27" t="inlineStr">
        <is>
          <t>EvidencePack + allowed actions + bounded context</t>
        </is>
      </c>
      <c r="F7" s="27" t="inlineStr">
        <is>
          <t>Validated answer/draft + citations + review reason</t>
        </is>
      </c>
      <c r="G7" s="27" t="inlineStr">
        <is>
          <t>Provider client, prompts, retries, schema, claim/citation checks, no-evidence abstention, PII output</t>
        </is>
      </c>
      <c r="H7" s="27" t="inlineStr">
        <is>
          <t>packages/llm/{clients,prompts,structured_outputs,guardrails}</t>
        </is>
      </c>
      <c r="I7" s="27" t="inlineStr">
        <is>
          <t>Configurable LLM; HTTP client; Pydantic; Python validators</t>
        </is>
      </c>
      <c r="J7" s="27" t="inlineStr">
        <is>
          <t>IO-02, IO-05, IO-08</t>
        </is>
      </c>
      <c r="K7" s="27" t="inlineStr">
        <is>
          <t>MOD-04; MOD-06 for personalized resolution</t>
        </is>
      </c>
      <c r="L7" s="27" t="inlineStr">
        <is>
          <t>LLM diễn đạt từ evidence; quyết định eligibility và quyền action thuộc MOD-06. Provider/model pin tại G0.</t>
        </is>
      </c>
    </row>
    <row r="8" ht="45.75" customHeight="1">
      <c r="A8" s="29" t="inlineStr">
        <is>
          <t>MOD-04</t>
        </is>
      </c>
      <c r="B8" s="29" t="inlineStr">
        <is>
          <t>Retrieval &amp; evidence</t>
        </is>
      </c>
      <c r="C8" s="29" t="inlineStr">
        <is>
          <t>M2; mở rộng M5/M6</t>
        </is>
      </c>
      <c r="D8" s="29" t="inlineStr">
        <is>
          <t>ALL</t>
        </is>
      </c>
      <c r="E8" s="29" t="inlineStr">
        <is>
          <t>Query + namespace + authorized filters + index version</t>
        </is>
      </c>
      <c r="F8" s="29" t="inlineStr">
        <is>
          <t>Ranked hits/evidence + source IDs + timestamps + latency</t>
        </is>
      </c>
      <c r="G8" s="29" t="inlineStr">
        <is>
          <t>Dense/BM25, RRF, optional BGE rerank, diversity, citation resolver, policy/case/known-issue modes</t>
        </is>
      </c>
      <c r="H8" s="29" t="inlineStr">
        <is>
          <t>packages/retrieval; pipelines/build_dense_sparse_index; pipelines/eval_retrieval</t>
        </is>
      </c>
      <c r="I8" s="29" t="inlineStr">
        <is>
          <t>Qdrant; sentence-transformers; rank-bm25; RRF; BGE candidate</t>
        </is>
      </c>
      <c r="J8" s="29" t="inlineStr">
        <is>
          <t>IO-05; POST /api/v1/retrieval/search (mới)</t>
        </is>
      </c>
      <c r="K8" s="29" t="inlineStr">
        <is>
          <t>MOD-02; optional MOD-07/08 enrichment</t>
        </is>
      </c>
      <c r="L8" s="29" t="inlineStr">
        <is>
          <t>Không dùng Top-K làm thống kê; score retrieval không phải xác suất; aspect-polarity filter phải bảo toàn cặp.</t>
        </is>
      </c>
    </row>
    <row r="9" ht="45.75" customHeight="1">
      <c r="A9" s="27" t="inlineStr">
        <is>
          <t>MOD-05</t>
        </is>
      </c>
      <c r="B9" s="27" t="inlineStr">
        <is>
          <t>Customer &amp; order context</t>
        </is>
      </c>
      <c r="C9" s="27" t="inlineStr">
        <is>
          <t>M3</t>
        </is>
      </c>
      <c r="D9" s="27" t="inlineStr">
        <is>
          <t>US-BUY-01; US-AGENT-01</t>
        </is>
      </c>
      <c r="E9" s="27" t="inlineStr">
        <is>
          <t>Verified customer_ref/order_ref</t>
        </is>
      </c>
      <c r="F9" s="27" t="inlineStr">
        <is>
          <t>Order/product/warranty metadata, ownership/availability status</t>
        </is>
      </c>
      <c r="G9" s="27" t="inlineStr">
        <is>
          <t>CRM adapter, authorization, pseudonymized mapping, missing-field response, region lookup</t>
        </is>
      </c>
      <c r="H9" s="27" t="inlineStr">
        <is>
          <t>packages/customer_context; apps/api services</t>
        </is>
      </c>
      <c r="I9" s="27" t="inlineStr">
        <is>
          <t>PostgreSQL demo; CRM adapter; RBAC; typed/MCP tools</t>
        </is>
      </c>
      <c r="J9" s="27" t="inlineStr">
        <is>
          <t>IO-06; query_customer_order</t>
        </is>
      </c>
      <c r="K9" s="27" t="inlineStr">
        <is>
          <t>MOD-12</t>
        </is>
      </c>
      <c r="L9" s="27" t="inlineStr">
        <is>
          <t>CRM/commerce là source of truth khi live. Seed demo có synthetic flag; không tự truy đơn của người khác.</t>
        </is>
      </c>
    </row>
    <row r="10" ht="45.75" customHeight="1">
      <c r="A10" s="29" t="inlineStr">
        <is>
          <t>MOD-06</t>
        </is>
      </c>
      <c r="B10" s="29" t="inlineStr">
        <is>
          <t>Policy registry &amp; resolution engine</t>
        </is>
      </c>
      <c r="C10" s="29" t="inlineStr">
        <is>
          <t>M1 catalog; M3 rules; M6 graph</t>
        </is>
      </c>
      <c r="D10" s="29" t="inlineStr">
        <is>
          <t>US-BUY-01; US-AGENT-01; US-STEWARD-01</t>
        </is>
      </c>
      <c r="E10" s="29" t="inlineStr">
        <is>
          <t>Approved policy + order context + evidence + graph context</t>
        </is>
      </c>
      <c r="F10" s="29" t="inlineStr">
        <is>
          <t>PolicyDecision; action candidates; ticket routing; resolution outcome</t>
        </is>
      </c>
      <c r="G10" s="29" t="inlineStr">
        <is>
          <t>Version/effective-date filtering; deterministic conditions; missing fields; FSM/reflection; approval; action idempotency</t>
        </is>
      </c>
      <c r="H10" s="29" t="inlineStr">
        <is>
          <t>packages/policy; packages/resolution; pipelines/eval_resolution</t>
        </is>
      </c>
      <c r="I10" s="29" t="inlineStr">
        <is>
          <t>PostgreSQL; Python rules/FSM; Pydantic; MCP adapters</t>
        </is>
      </c>
      <c r="J10" s="29" t="inlineStr">
        <is>
          <t>IO-07/08/09; POST /api/v1/resolution/draft</t>
        </is>
      </c>
      <c r="K10" s="29" t="inlineStr">
        <is>
          <t>MOD-03/04/05; optional MOD-08</t>
        </is>
      </c>
      <c r="L10" s="29" t="inlineStr">
        <is>
          <t>Q&amp;A nói điều kiện khác với quyết định case cụ thể. Tiền/ngoại lệ phải review; policy unknown/stale không dùng để kết luận.</t>
        </is>
      </c>
    </row>
    <row r="11" ht="45.75" customHeight="1">
      <c r="A11" s="27" t="inlineStr">
        <is>
          <t>MOD-07</t>
        </is>
      </c>
      <c r="B11" s="27" t="inlineStr">
        <is>
          <t>ABSA &amp; entity/triage</t>
        </is>
      </c>
      <c r="C11" s="27" t="inlineStr">
        <is>
          <t>M4; M7</t>
        </is>
      </c>
      <c r="D11" s="27" t="inlineStr">
        <is>
          <t>US-AGENT-01; US-ANALYST-01; US-PM-01</t>
        </is>
      </c>
      <c r="E11" s="27" t="inlineStr">
        <is>
          <t>Masked feedback + taxonomy + versioned model</t>
        </is>
      </c>
      <c r="F11" s="27" t="inlineStr">
        <is>
          <t>Aspect-polarity pairs, confidence, supported spans/entities, model lineage</t>
        </is>
      </c>
      <c r="G11" s="27" t="inlineStr">
        <is>
          <t>Baseline/candidate training; ATE/APC/category; calibration; batch all corpus; low-confidence queue; domain slices</t>
        </is>
      </c>
      <c r="H11" s="27" t="inlineStr">
        <is>
          <t>packages/absa; pipelines/{absa_batch,eval_absa,retrain_absa}</t>
        </is>
      </c>
      <c r="I11" s="27" t="inlineStr">
        <is>
          <t>scikit-learn; PyTorch/Transformers; PhoBERT candidate; Parquet</t>
        </is>
      </c>
      <c r="J11" s="27" t="inlineStr">
        <is>
          <t>IO-10; POST /api/v1/absa/predict (mới)</t>
        </is>
      </c>
      <c r="K11" s="27" t="inlineStr">
        <is>
          <t>MOD-02; MOD-12</t>
        </is>
      </c>
      <c r="L11" s="27" t="inlineStr">
        <is>
          <t>100% accepted corpus được accounting; không overwrite model predictions. ATE cần labels riêng; ASTE/ACOS là extension.</t>
        </is>
      </c>
    </row>
    <row r="12" ht="45.75" customHeight="1">
      <c r="A12" s="29" t="inlineStr">
        <is>
          <t>MOD-08</t>
        </is>
      </c>
      <c r="B12" s="29" t="inlineStr">
        <is>
          <t>Knowledge Graph &amp; GraphRAG</t>
        </is>
      </c>
      <c r="C12" s="29" t="inlineStr">
        <is>
          <t>M6; M7</t>
        </is>
      </c>
      <c r="D12" s="29" t="inlineStr">
        <is>
          <t>US-ANALYST-01; US-STEWARD-01; US-BUY-01; US-PM-01</t>
        </is>
      </c>
      <c r="E12" s="29" t="inlineStr">
        <is>
          <t>Versioned entities/evidence, proposed/approved mutations</t>
        </is>
      </c>
      <c r="F12" s="29" t="inlineStr">
        <is>
          <t>Paths, known issue context, lifecycle, published graph versions</t>
        </is>
      </c>
      <c r="G12" s="29" t="inlineStr">
        <is>
          <t>Canonical Issue-centered ontology, seed/sync, local traversal, vector bridge, constraints, approval, stale detection, rollback</t>
        </is>
      </c>
      <c r="H12" s="29" t="inlineStr">
        <is>
          <t>packages/graph/{ontology,retrievers,mutations}; pipelines/graph_sync</t>
        </is>
      </c>
      <c r="I12" s="29" t="inlineStr">
        <is>
          <t>Neo4j; Cypher; Python driver; PostgreSQL approval journal</t>
        </is>
      </c>
      <c r="J12" s="29" t="inlineStr">
        <is>
          <t>IO-12/13; controlled graph query/mutation APIs (mới)</t>
        </is>
      </c>
      <c r="K12" s="29" t="inlineStr">
        <is>
          <t>MOD-02/04/06/11</t>
        </is>
      </c>
      <c r="L12" s="29" t="inlineStr">
        <is>
          <t>Hypothesis không thành confirmed từ LLM. Graph cycle chỉ bị chặn theo invariant của quan hệ, không cấm mọi chu trình.</t>
        </is>
      </c>
    </row>
    <row r="13" ht="45.75" customHeight="1">
      <c r="A13" s="27" t="inlineStr">
        <is>
          <t>MOD-09</t>
        </is>
      </c>
      <c r="B13" s="27" t="inlineStr">
        <is>
          <t>Analytics, metrics &amp; alerts</t>
        </is>
      </c>
      <c r="C13" s="27" t="inlineStr">
        <is>
          <t>M3 events; M5 dashboard; M7/M8 eval</t>
        </is>
      </c>
      <c r="D13" s="27" t="inlineStr">
        <is>
          <t>US-ANALYST-01; US-PM-01</t>
        </is>
      </c>
      <c r="E13" s="27" t="inlineStr">
        <is>
          <t>Versioned predictions + population + ticket/outcome timestamps</t>
        </is>
      </c>
      <c r="F13" s="27" t="inlineStr">
        <is>
          <t>Metrics, trend/cohort context, alerts, efficacy/cost reports</t>
        </is>
      </c>
      <c r="G13" s="27" t="inlineStr">
        <is>
          <t>Full-corpus aggregates, denominators, version selection, min sample, data freshness, business metrics</t>
        </is>
      </c>
      <c r="H13" s="27" t="inlineStr">
        <is>
          <t>packages/analytics; apps/worker/jobs</t>
        </is>
      </c>
      <c r="I13" s="27" t="inlineStr">
        <is>
          <t>PostgreSQL aggregates; Python scheduled jobs; Prometheus</t>
        </is>
      </c>
      <c r="J13" s="27" t="inlineStr">
        <is>
          <t>IO-11; analytics endpoints (mới)</t>
        </is>
      </c>
      <c r="K13" s="27" t="inlineStr">
        <is>
          <t>MOD-02/07; MOD-06 outcomes</t>
        </is>
      </c>
      <c r="L13" s="27" t="inlineStr">
        <is>
          <t>Báo 100% dữ liệu hợp lệ đã ingest, không tự nhận 100% khách hàng doanh nghiệp. KPI business cần baseline/pilot thật.</t>
        </is>
      </c>
    </row>
    <row r="14" ht="45.75" customHeight="1">
      <c r="A14" s="29" t="inlineStr">
        <is>
          <t>MOD-10</t>
        </is>
      </c>
      <c r="B14" s="29" t="inlineStr">
        <is>
          <t>Analyst/PM dashboard &amp; investigation</t>
        </is>
      </c>
      <c r="C14" s="29" t="inlineStr">
        <is>
          <t>M5; M6</t>
        </is>
      </c>
      <c r="D14" s="29" t="inlineStr">
        <is>
          <t>US-ANALYST-01; US-PM-01</t>
        </is>
      </c>
      <c r="E14" s="29" t="inlineStr">
        <is>
          <t>Metrics/cohort filters + evidence + graph context</t>
        </is>
      </c>
      <c r="F14" s="29" t="inlineStr">
        <is>
          <t>Charts, issue detail, evidence drill-down, analyst annotations</t>
        </is>
      </c>
      <c r="G14" s="29" t="inlineStr">
        <is>
          <t>Filter state preservation; population/freshness; graph path viewer; issue ownership/lifecycle; role-safe drill-down</t>
        </is>
      </c>
      <c r="H14" s="29" t="inlineStr">
        <is>
          <t>apps/web/src/features/analytics (mới); apps/api investigation routes; apps/analyst_dashboard là scaffold tham chiếu</t>
        </is>
      </c>
      <c r="I14" s="29" t="inlineStr">
        <is>
          <t>React; TypeScript; chart component; FastAPI</t>
        </is>
      </c>
      <c r="J14" s="29" t="inlineStr">
        <is>
          <t>IO-11/12/13; POST /api/v1/investigation/drilldown (mở rộng)</t>
        </is>
      </c>
      <c r="K14" s="29" t="inlineStr">
        <is>
          <t>MOD-04/08/09/11</t>
        </is>
      </c>
      <c r="L14" s="29" t="inlineStr">
        <is>
          <t>Nêu rõ candidate cause vs confirmed; metric lineage đủ để tái tính; user không cần biết vector score nội bộ.</t>
        </is>
      </c>
    </row>
    <row r="15" ht="45.75" customHeight="1">
      <c r="A15" s="27" t="inlineStr">
        <is>
          <t>MOD-11</t>
        </is>
      </c>
      <c r="B15" s="27" t="inlineStr">
        <is>
          <t>Agent Workspace, feedback &amp; stewardship</t>
        </is>
      </c>
      <c r="C15" s="27" t="inlineStr">
        <is>
          <t>M3; M4; M6–M7</t>
        </is>
      </c>
      <c r="D15" s="27" t="inlineStr">
        <is>
          <t>US-AGENT-01; US-ANALYST-01; US-STEWARD-01</t>
        </is>
      </c>
      <c r="E15" s="27" t="inlineStr">
        <is>
          <t>Drafts/tickets, correction/relevance/outcome, proposed knowledge changes</t>
        </is>
      </c>
      <c r="F15" s="27" t="inlineStr">
        <is>
          <t>Final reviewed responses; approved labels; dataset/knowledge change versions</t>
        </is>
      </c>
      <c r="G15" s="27" t="inlineStr">
        <is>
          <t>Approve/edit/reject/reasons/escalation; annotations; stewardship queue; active learning export; status workflow</t>
        </is>
      </c>
      <c r="H15" s="27" t="inlineStr">
        <is>
          <t>apps/web/src/features/{agent-copilot,steward} (mới); packages/feedback/{annotations,knowledge_approval,active_learning}; apps/agent_workspace là scaffold tham chiếu</t>
        </is>
      </c>
      <c r="I15" s="27" t="inlineStr">
        <is>
          <t>React; FastAPI; PostgreSQL; Python export/training jobs</t>
        </is>
      </c>
      <c r="J15" s="27" t="inlineStr">
        <is>
          <t>IO-09/13; POST /api/v1/feedback/contribute</t>
        </is>
      </c>
      <c r="K15" s="27" t="inlineStr">
        <is>
          <t>MOD-06/07/08/12</t>
        </is>
      </c>
      <c r="L15" s="27" t="inlineStr">
        <is>
          <t>Một người dev có thể mô phỏng 5 vai trò, không có nghĩa đã có independent UAT/production approver.</t>
        </is>
      </c>
    </row>
    <row r="16" ht="45.75" customHeight="1">
      <c r="A16" s="29" t="inlineStr">
        <is>
          <t>MOD-12</t>
        </is>
      </c>
      <c r="B16" s="29" t="inlineStr">
        <is>
          <t>Contracts, security, evaluation &amp; operations</t>
        </is>
      </c>
      <c r="C16" s="29" t="inlineStr">
        <is>
          <t>M0–M8</t>
        </is>
      </c>
      <c r="D16" s="29" t="inlineStr">
        <is>
          <t>ALL</t>
        </is>
      </c>
      <c r="E16" s="29" t="inlineStr">
        <is>
          <t>All configs, events, dataset/model/index/graph/policy versions</t>
        </is>
      </c>
      <c r="F16" s="29" t="inlineStr">
        <is>
          <t>Typed contracts, audit, traces, eval/release reports, deployment/runbooks</t>
        </is>
      </c>
      <c r="G16" s="29" t="inlineStr">
        <is>
          <t>Auth/RBAC, privacy/deletion, secrets/rate limit, CI gates, versioning, backup/rollback, load/drift/cost</t>
        </is>
      </c>
      <c r="H16" s="29" t="inlineStr">
        <is>
          <t>packages/common; packages/data_contracts; tests; configs; infra; .github; artifacts</t>
        </is>
      </c>
      <c r="I16" s="29" t="inlineStr">
        <is>
          <t>Pydantic; pytest; Poetry; Docker; GitHub Actions; OTel; Prometheus; Helm/Terraform/EKS target</t>
        </is>
      </c>
      <c r="J16" s="29" t="inlineStr">
        <is>
          <t>IO-14/15; health probes; manifests</t>
        </is>
      </c>
      <c r="K16" s="29" t="inlineStr">
        <is>
          <t>Shared foundation; triển khai tăng dần</t>
        </is>
      </c>
      <c r="L16" s="29" t="inlineStr">
        <is>
          <t>Demo on Compose bắt buộc. Live cloud và production có entry criteria riêng; không thay test thật bằng readiness mock.</t>
        </is>
      </c>
    </row>
  </sheetData>
  <autoFilter ref="A4:L16"/>
  <mergeCells count="2">
    <mergeCell ref="A1:L1"/>
    <mergeCell ref="A2:L2"/>
  </mergeCells>
  <hyperlinks>
    <hyperlink ref="A3" location="'Cover Page'!A1" display="← Cover Page"/>
  </hyperlinks>
  <pageMargins left="0.7" right="0.7" top="0.75" bottom="0.75" header="0.3" footer="0.3"/>
  <pageSetup orientation="landscape" paperSize="8" fitToHeight="0"/>
  <headerFooter>
    <oddHeader/>
    <oddFooter>&amp;CSenticRAG | Kế hoạch triển khai |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FF087E8B"/>
    <outlinePr summaryBelow="1" summaryRight="1"/>
    <pageSetUpPr fitToPage="1"/>
  </sheetPr>
  <dimension ref="A1:L19"/>
  <sheetViews>
    <sheetView showGridLines="0" zoomScale="85" zoomScaleNormal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.7109375" customWidth="1" min="1" max="1"/>
    <col width="35.7109375" customWidth="1" min="2" max="2"/>
    <col width="18.7109375" customWidth="1" min="3" max="3"/>
    <col width="34.7109375" customWidth="1" min="4" max="5"/>
    <col width="80.7109375" customWidth="1" min="6" max="6"/>
    <col width="95.7109375" customWidth="1" min="7" max="7"/>
    <col width="90.7109375" customWidth="1" min="8" max="8"/>
    <col width="65.7109375" customWidth="1" min="9" max="9"/>
    <col width="75.7109375" customWidth="1" min="10" max="10"/>
    <col width="95.7109375" customWidth="1" min="11" max="11"/>
    <col width="45.7109375" customWidth="1" min="12" max="12"/>
  </cols>
  <sheetData>
    <row r="1" ht="36" customHeight="1">
      <c r="A1" s="7" t="inlineStr">
        <is>
          <t>INPUT / OUTPUT CONTRACTS | dữ liệu đi qua module</t>
        </is>
      </c>
    </row>
    <row r="2" ht="36" customHeight="1">
      <c r="A2" s="8" t="inlineStr">
        <is>
          <t>Ví dụ JSON minh họa payload, không phải schema đầy đủ hoặc kết quả thật. Schema canonical, enum và constraints cần được khóa tại M0.3.</t>
        </is>
      </c>
    </row>
    <row r="3">
      <c r="A3" s="9" t="inlineStr">
        <is>
          <t>← Cover Page</t>
        </is>
      </c>
    </row>
    <row r="4" ht="33.75" customHeight="1">
      <c r="A4" s="26" t="inlineStr">
        <is>
          <t>I/O ID</t>
        </is>
      </c>
      <c r="B4" s="26" t="inlineStr">
        <is>
          <t>Contract</t>
        </is>
      </c>
      <c r="C4" s="26" t="inlineStr">
        <is>
          <t>Giai đoạn</t>
        </is>
      </c>
      <c r="D4" s="26" t="inlineStr">
        <is>
          <t>Producer</t>
        </is>
      </c>
      <c r="E4" s="26" t="inlineStr">
        <is>
          <t>Consumer</t>
        </is>
      </c>
      <c r="F4" s="26" t="inlineStr">
        <is>
          <t>Input fields</t>
        </is>
      </c>
      <c r="G4" s="26" t="inlineStr">
        <is>
          <t>Output fields</t>
        </is>
      </c>
      <c r="H4" s="26" t="inlineStr">
        <is>
          <t>Validation / failure</t>
        </is>
      </c>
      <c r="I4" s="26" t="inlineStr">
        <is>
          <t>Lưu ở đâu</t>
        </is>
      </c>
      <c r="J4" s="26" t="inlineStr">
        <is>
          <t>API / trạng thái hiện tại</t>
        </is>
      </c>
      <c r="K4" s="26" t="inlineStr">
        <is>
          <t>Ví dụ minh họa</t>
        </is>
      </c>
      <c r="L4" s="26" t="inlineStr">
        <is>
          <t>Nguồn</t>
        </is>
      </c>
    </row>
    <row r="5" ht="45.75" customHeight="1">
      <c r="A5" s="27" t="inlineStr">
        <is>
          <t>IO-01</t>
        </is>
      </c>
      <c r="B5" s="27" t="inlineStr">
        <is>
          <t>ChatMessageRequest</t>
        </is>
      </c>
      <c r="C5" s="27" t="inlineStr">
        <is>
          <t>M0→M2</t>
        </is>
      </c>
      <c r="D5" s="27" t="inlineStr">
        <is>
          <t>Buyer UI</t>
        </is>
      </c>
      <c r="E5" s="27" t="inlineStr">
        <is>
          <t>MOD-01</t>
        </is>
      </c>
      <c r="F5" s="27" t="inlineStr">
        <is>
          <t>message:string; conversation_id?:UUID; client_request_id:UUID; channel; product_ref?/order_ref?</t>
        </is>
      </c>
      <c r="G5" s="27" t="inlineStr">
        <is>
          <t>Authorized request context + normalized message + optional verified refs</t>
        </is>
      </c>
      <c r="H5" s="27" t="inlineStr">
        <is>
          <t>Identity/role lấy từ auth, không tin client; max length; idempotency; policy Q&amp;A cho phép thiếu product.</t>
        </is>
      </c>
      <c r="I5" s="27" t="inlineStr">
        <is>
          <t>PostgreSQL conversations/interactions; masked content; restricted identity mapping</t>
        </is>
      </c>
      <c r="J5" s="27" t="inlineStr">
        <is>
          <t>POST /api/v1/chat/messages — mới, không tái dùng FeedbackRecord có product_id bắt buộc</t>
        </is>
      </c>
      <c r="K5" s="27" t="inlineStr">
        <is>
          <t>{"conversation_id":"b33b56b8-a6b7-42a7-85fa-a2761262ecf5","client_request_id":"bdbbd5d4-fae8-486a-89e7-7bf334ff5a42","message":"Chính sách đổi trả thế nào?"}</t>
        </is>
      </c>
      <c r="L5" s="27" t="inlineStr">
        <is>
          <t>SRC-02 §5.4,7.9; SRC-16; đề xuất cho chatbot</t>
        </is>
      </c>
    </row>
    <row r="6" ht="45.75" customHeight="1">
      <c r="A6" s="29" t="inlineStr">
        <is>
          <t>IO-02</t>
        </is>
      </c>
      <c r="B6" s="29" t="inlineStr">
        <is>
          <t>ChatMessageResponse</t>
        </is>
      </c>
      <c r="C6" s="29" t="inlineStr">
        <is>
          <t>M2</t>
        </is>
      </c>
      <c r="D6" s="29" t="inlineStr">
        <is>
          <t>MOD-01/03</t>
        </is>
      </c>
      <c r="E6" s="29" t="inlineStr">
        <is>
          <t>Buyer UI</t>
        </is>
      </c>
      <c r="F6" s="29" t="inlineStr">
        <is>
          <t>Authorized message + EvidencePack + bounded history</t>
        </is>
      </c>
      <c r="G6" s="29" t="inlineStr">
        <is>
          <t>conversation_id; message_id; answer; citations[]; status: answered|needs_clarification|needs_human_review|error; missing_fields[]; ticket_id?; trace_id</t>
        </is>
      </c>
      <c r="H6" s="29" t="inlineStr">
        <is>
          <t>Citation chung có source_type/source_id/snippet; policy citation thêm policy_id, clause_id, chunk_id, source_url, policy_version, effective_from/effective_to nullable với unknown rõ. Ticket/graph citation dùng resolver theo loại, không ép trường policy. Resolver kiểm nguồn/version/điều khoản và evidence hỗ trợ claim; URL hợp lệ chưa đủ. No-evidence không kết luận; timeout/error rõ; stream nếu dùng chỉ phát nội dung đã kiểm.</t>
        </is>
      </c>
      <c r="I6" s="29" t="inlineStr">
        <is>
          <t>interactions, llm_generations, citations</t>
        </is>
      </c>
      <c r="J6" s="29" t="inlineStr">
        <is>
          <t>Response /api/v1/chat/messages; GET conversation/history — mới</t>
        </is>
      </c>
      <c r="K6" s="29" t="inlineStr">
        <is>
          <t>{"status":"needs_clarification","answer":"Bạn đang hỏi sản phẩm thuộc nhóm nào?","citations":[],"missing_fields":["product_category"],"trace_id":"trace-demo"}</t>
        </is>
      </c>
      <c r="L6" s="29" t="inlineStr">
        <is>
          <t>SRC-02 §7.9; SRC-04; đề xuất chatbot</t>
        </is>
      </c>
    </row>
    <row r="7" ht="45.75" customHeight="1">
      <c r="A7" s="27" t="inlineStr">
        <is>
          <t>IO-03</t>
        </is>
      </c>
      <c r="B7" s="27" t="inlineStr">
        <is>
          <t>FeedbackRecord → IngestReceipt</t>
        </is>
      </c>
      <c r="C7" s="27" t="inlineStr">
        <is>
          <t>M1/M4</t>
        </is>
      </c>
      <c r="D7" s="27" t="inlineStr">
        <is>
          <t>Source adapter/chat event</t>
        </is>
      </c>
      <c r="E7" s="27" t="inlineStr">
        <is>
          <t>MOD-02→MOD-07</t>
        </is>
      </c>
      <c r="F7" s="27" t="inlineStr">
        <is>
          <t>source/source_record_id/text/language/created_at/product_id; product_version?/customer_ref?/order_ref?/rating?</t>
        </is>
      </c>
      <c r="G7" s="27" t="inlineStr">
        <is>
          <t>accepted/rejected/batch_id; durable record IDs; masked text; validation errors; processing status</t>
        </is>
      </c>
      <c r="H7" s="27" t="inlineStr">
        <is>
          <t>Dedup source+source_record_id; UTC timestamps; product missing phải quarantine/enrich, không invent; accepted/202 chỉ sau commit record+outbox trong cùng transaction. Queue có thể pending; trả processing_status và retry/replay có lý do.</t>
        </is>
      </c>
      <c r="I7" s="27" t="inlineStr">
        <is>
          <t>Immutable ingest manifest + reviews/support_tickets + SQL outbox + queue/DLQ</t>
        </is>
      </c>
      <c r="J7" s="27" t="inlineStr">
        <is>
          <t>POST /api/v1/ingest/feedback — schema có, handler hiện mock cần triển khai</t>
        </is>
      </c>
      <c r="K7" s="27" t="inlineStr">
        <is>
          <t>{"source":"ticket","source_record_id":"tk-demo-1","product_id":"demo-phone-x","text":"Pin yếu sau cập nhật","language":"vi","created_at":"2026-10-26T03:00:00Z"}</t>
        </is>
      </c>
      <c r="L7" s="27" t="inlineStr">
        <is>
          <t>SRC-06 §2; SRC-02 §7.1,9; SRC-16</t>
        </is>
      </c>
    </row>
    <row r="8" ht="45.75" customHeight="1">
      <c r="A8" s="29" t="inlineStr">
        <is>
          <t>IO-04</t>
        </is>
      </c>
      <c r="B8" s="29" t="inlineStr">
        <is>
          <t>PolicyDocument / PolicyChunk</t>
        </is>
      </c>
      <c r="C8" s="29" t="inlineStr">
        <is>
          <t>M1→M2</t>
        </is>
      </c>
      <c r="D8" s="29" t="inlineStr">
        <is>
          <t>MOD-02; steward review</t>
        </is>
      </c>
      <c r="E8" s="29" t="inlineStr">
        <is>
          <t>MOD-04/06</t>
        </is>
      </c>
      <c r="F8" s="29" t="inlineStr">
        <is>
          <t>Raw source + URL/title/hash/crawled_at + verified applicability</t>
        </is>
      </c>
      <c r="G8" s="29" t="inlineStr">
        <is>
          <t>doc_id/chunk_id; policy_id/version/clause_id; clean text; source_url; offsets/heading; effective_from/to; scope; approval status; source_hash</t>
        </is>
      </c>
      <c r="H8" s="29" t="inlineStr">
        <is>
          <t>Không suy effective date từ crawl date; missing dates/status cần duyệt; chunk giữ ngoại lệ; only approved applicable policy searchable.</t>
        </is>
      </c>
      <c r="I8" s="29" t="inlineStr">
        <is>
          <t>Raw export; PostgreSQL registry; Qdrant policies derived index</t>
        </is>
      </c>
      <c r="J8" s="29" t="inlineStr">
        <is>
          <t>Policy ingestion pipeline; admin catalog/publish API — mới</t>
        </is>
      </c>
      <c r="K8" s="29" t="inlineStr">
        <is>
          <t>{"chunk_id":"demo-policy-v1-4.2","policy_id":"DEMO-WARRANTY","version":"1","clause_id":"4.2","status":"approved","synthetic":true}</t>
        </is>
      </c>
      <c r="L8" s="29" t="inlineStr">
        <is>
          <t>SRC-06 §4–5; SRC-02 §7.8</t>
        </is>
      </c>
    </row>
    <row r="9" ht="45.75" customHeight="1">
      <c r="A9" s="27" t="inlineStr">
        <is>
          <t>IO-05</t>
        </is>
      </c>
      <c r="B9" s="27" t="inlineStr">
        <is>
          <t>RetrievalRequest → EvidencePack</t>
        </is>
      </c>
      <c r="C9" s="27" t="inlineStr">
        <is>
          <t>M2→M5/M6</t>
        </is>
      </c>
      <c r="D9" s="27" t="inlineStr">
        <is>
          <t>MOD-01/10</t>
        </is>
      </c>
      <c r="E9" s="27" t="inlineStr">
        <is>
          <t>MOD-04→MOD-03/08</t>
        </is>
      </c>
      <c r="F9" s="27" t="inlineStr">
        <is>
          <t>query; mode: policy|case|investigation|known_issue; authorized filters; top_k; as_of; index_version?</t>
        </is>
      </c>
      <c r="G9" s="27" t="inlineStr">
        <is>
          <t>hits[{source_type,source_id,chunk_id,score,snippet,url,timestamp,policy_version?,metadata}]; index_version; empty_reason?; stage_latency_ms</t>
        </is>
      </c>
      <c r="H9" s="27" t="inlineStr">
        <is>
          <t>Policy+review namespaces riêng; filters trước retrieval/rerank; paired aspect/sentiment; valid source IDs; distinguish score type.</t>
        </is>
      </c>
      <c r="I9" s="27" t="inlineStr">
        <is>
          <t>retrieval_sessions/results; Qdrant; source records</t>
        </is>
      </c>
      <c r="J9" s="27" t="inlineStr">
        <is>
          <t>POST /api/v1/retrieval/search — mới; internal service trong chat</t>
        </is>
      </c>
      <c r="K9" s="27" t="inlineStr">
        <is>
          <t>{"query":"đổi trả điện thoại","mode":"policy","filters":{"approval_status":"approved"},"top_k":5,"as_of":"2026-10-26"}</t>
        </is>
      </c>
      <c r="L9" s="27" t="inlineStr">
        <is>
          <t>SRC-02 §7.5; SRC-06 §4; SRC-07 Retrieval</t>
        </is>
      </c>
    </row>
    <row r="10" ht="45.75" customHeight="1">
      <c r="A10" s="29" t="inlineStr">
        <is>
          <t>IO-06</t>
        </is>
      </c>
      <c r="B10" s="29" t="inlineStr">
        <is>
          <t>AuthorizedOrderContext</t>
        </is>
      </c>
      <c r="C10" s="29" t="inlineStr">
        <is>
          <t>M3</t>
        </is>
      </c>
      <c r="D10" s="29" t="inlineStr">
        <is>
          <t>Auth + CRM/seed adapter</t>
        </is>
      </c>
      <c r="E10" s="29" t="inlineStr">
        <is>
          <t>MOD-05→MOD-06</t>
        </is>
      </c>
      <c r="F10" s="29" t="inlineStr">
        <is>
          <t>authenticated subject; verified order_ref; requested fields</t>
        </is>
      </c>
      <c r="G10" s="29" t="inlineStr">
        <is>
          <t>ownership_status; product/version; purchase_date; warranty_expires_at; region; order_status; source; missing_fields</t>
        </is>
      </c>
      <c r="H10" s="29" t="inlineStr">
        <is>
          <t>Verify ownership trước read; unknown khác not eligible; only minimized context vào LLM; seed source=demo.</t>
        </is>
      </c>
      <c r="I10" s="29" t="inlineStr">
        <is>
          <t>CRM source-of-truth; restricted SQL mapping/cache</t>
        </is>
      </c>
      <c r="J10" s="29" t="inlineStr">
        <is>
          <t>query_customer_order; customer context endpoint — mới</t>
        </is>
      </c>
      <c r="K10" s="29" t="inlineStr">
        <is>
          <t>{"order_ref":"DEMO-ORDER-01","ownership_status":"verified","source":"synthetic_seed","product_id":"demo-phone-x","missing_fields":[]}</t>
        </is>
      </c>
      <c r="L10" s="29" t="inlineStr">
        <is>
          <t>SRC-02 §3.1,7.2,8.2; SRC-06 §5.3</t>
        </is>
      </c>
    </row>
    <row r="11" ht="45.75" customHeight="1">
      <c r="A11" s="27" t="inlineStr">
        <is>
          <t>IO-07</t>
        </is>
      </c>
      <c r="B11" s="27" t="inlineStr">
        <is>
          <t>PolicyDecision</t>
        </is>
      </c>
      <c r="C11" s="27" t="inlineStr">
        <is>
          <t>M3</t>
        </is>
      </c>
      <c r="D11" s="27" t="inlineStr">
        <is>
          <t>MOD-05 + approved registry</t>
        </is>
      </c>
      <c r="E11" s="27" t="inlineStr">
        <is>
          <t>MOD-06→MOD-03/11</t>
        </is>
      </c>
      <c r="F11" s="27" t="inlineStr">
        <is>
          <t>order context; product/version; issue attributes; evaluation time</t>
        </is>
      </c>
      <c r="G11" s="27" t="inlineStr">
        <is>
          <t>eligibility: eligible|ineligible|unknown; allowed_actions; prohibited_actions; missing_fields; policy_id/version/clause_id; review_required; reasons</t>
        </is>
      </c>
      <c r="H11" s="27" t="inlineStr">
        <is>
          <t>Deterministic rule evaluator; no stale policy; dates timezone consistent; financial exception review; conditions not evaluated by LLM.</t>
        </is>
      </c>
      <c r="I11" s="27" t="inlineStr">
        <is>
          <t>Policy registry + policy_decisions audit</t>
        </is>
      </c>
      <c r="J11" s="27" t="inlineStr">
        <is>
          <t>check_warranty_eligibility tool/internal API — mới</t>
        </is>
      </c>
      <c r="K11" s="27" t="inlineStr">
        <is>
          <t>{"eligibility":"unknown","allowed_actions":[],"missing_fields":["purchase_date"],"review_required":true,"reasons":["missing_order_context"]}</t>
        </is>
      </c>
      <c r="L11" s="27" t="inlineStr">
        <is>
          <t>SRC-02 §7.8; SRC-06 §5.2</t>
        </is>
      </c>
    </row>
    <row r="12" ht="45.75" customHeight="1">
      <c r="A12" s="29" t="inlineStr">
        <is>
          <t>IO-08</t>
        </is>
      </c>
      <c r="B12" s="29" t="inlineStr">
        <is>
          <t>ResolutionDraftRequest/Response</t>
        </is>
      </c>
      <c r="C12" s="29" t="inlineStr">
        <is>
          <t>M3→M6</t>
        </is>
      </c>
      <c r="D12" s="29" t="inlineStr">
        <is>
          <t>MOD-01/11</t>
        </is>
      </c>
      <c r="E12" s="29" t="inlineStr">
        <is>
          <t>MOD-06 + MOD-03</t>
        </is>
      </c>
      <c r="F12" s="29" t="inlineStr">
        <is>
          <t>ticket_id; authorized context refs; product/version; issue_text_masked; mode; evidence + policy decision</t>
        </is>
      </c>
      <c r="G12" s="29" t="inlineStr">
        <is>
          <t>case_summary; recommended_response/actions; citations; needs_human_review/reason; triage?; known_issue/status?; policy_version; trace_id; versions</t>
        </is>
      </c>
      <c r="H12" s="29" t="inlineStr">
        <is>
          <t>Unconfirmed root cause, ambiguity, missing policy, expired/exception case → review; no arbitrary confidence claim; authorized actions subset of rule output.</t>
        </is>
      </c>
      <c r="I12" s="29" t="inlineStr">
        <is>
          <t>llm_generations + citations + resolution_actions + audit</t>
        </is>
      </c>
      <c r="J12" s="29" t="inlineStr">
        <is>
          <t>POST /api/v1/resolution/draft — tồn tại, cần bỏ response mock và mở rộng schema</t>
        </is>
      </c>
      <c r="K12" s="29" t="inlineStr">
        <is>
          <t>{"ticket_id":"tk-demo-1","recommended_actions":["route_to_support"],"needs_human_review":true,"reason_for_review":"unconfirmed_root_cause","citations":[]}</t>
        </is>
      </c>
      <c r="L12" s="29" t="inlineStr">
        <is>
          <t>SRC-02 §7.9,9.3; SRC-06 §6; SRC-16</t>
        </is>
      </c>
    </row>
    <row r="13" ht="45.75" customHeight="1">
      <c r="A13" s="27" t="inlineStr">
        <is>
          <t>IO-09</t>
        </is>
      </c>
      <c r="B13" s="27" t="inlineStr">
        <is>
          <t>ReviewAction / ResolutionOutcome</t>
        </is>
      </c>
      <c r="C13" s="27" t="inlineStr">
        <is>
          <t>M3</t>
        </is>
      </c>
      <c r="D13" s="27" t="inlineStr">
        <is>
          <t>Agent/customer feedback</t>
        </is>
      </c>
      <c r="E13" s="27" t="inlineStr">
        <is>
          <t>MOD-06/11→MOD-09</t>
        </is>
      </c>
      <c r="F13" s="27" t="inlineStr">
        <is>
          <t>ticket_id/draft_id; approve|edit|reject|escalate; reason; final_response; request_id; outcome event</t>
        </is>
      </c>
      <c r="G13" s="27" t="inlineStr">
        <is>
          <t>persisted action_id; state; reviewer/time; sent/resolved/reopened; csat?; resolution_id; timestamps</t>
        </is>
      </c>
      <c r="H13" s="27" t="inlineStr">
        <is>
          <t>Actor from auth; idempotency; allowed state transitions; no final send before approval where required; outcome absent=unknown.</t>
        </is>
      </c>
      <c r="I13" s="27" t="inlineStr">
        <is>
          <t>interactions, resolution_actions, resolution_outcomes</t>
        </is>
      </c>
      <c r="J13" s="27" t="inlineStr">
        <is>
          <t>POST ticket review/outcome endpoints — mới; feedback/contribute dùng annotations</t>
        </is>
      </c>
      <c r="K13" s="27" t="inlineStr">
        <is>
          <t>{"ticket_id":"tk-demo-1","action":"reject","reason":"outdated_policy","request_id":"action-demo-1"}</t>
        </is>
      </c>
      <c r="L13" s="27" t="inlineStr">
        <is>
          <t>SRC-02 AG-AC-03..05; §8; SRC-03</t>
        </is>
      </c>
    </row>
    <row r="14" ht="62.25" customHeight="1">
      <c r="A14" s="29" t="inlineStr">
        <is>
          <t>IO-10</t>
        </is>
      </c>
      <c r="B14" s="29" t="inlineStr">
        <is>
          <t>ABSA prediction</t>
        </is>
      </c>
      <c r="C14" s="29" t="inlineStr">
        <is>
          <t>M4</t>
        </is>
      </c>
      <c r="D14" s="29" t="inlineStr">
        <is>
          <t>MOD-02 + model/taxonomy</t>
        </is>
      </c>
      <c r="E14" s="29" t="inlineStr">
        <is>
          <t>MOD-07→MOD-04/09/11</t>
        </is>
      </c>
      <c r="F14" s="29" t="inlineStr">
        <is>
          <t>record_id; text_masked; language; model/taxonomy version; metadata</t>
        </is>
      </c>
      <c r="G14" s="29" t="inlineStr">
        <is>
          <t>aspects[{aspect,category,sentiment,confidence,evidence_span?}]; entities[]; inference_timestamp; model_version; taxonomy_version; supported_language; status</t>
        </is>
      </c>
      <c r="H14" s="29" t="inlineStr">
        <is>
          <t>evidence_span optional/nullable chỉ khi labels/model hỗ trợ; không suy span từ category labels. model_version và taxonomy_version bắt buộc ở cấp prediction, không lặp trên từng aspect; positive/neutral/negative; confidence calibrated/marked; giữ cặp aspect-polarity. Contract tests kiểm version thiếu, span không có và payload nhiều aspect.</t>
        </is>
      </c>
      <c r="I14" s="29" t="inlineStr">
        <is>
          <t>absa_predictions keyed by record+model+taxonomy+timestamp; Qdrant derived payload</t>
        </is>
      </c>
      <c r="J14" s="29" t="inlineStr">
        <is>
          <t>POST /api/v1/absa/predict; batch worker; legacy /predict deprecated</t>
        </is>
      </c>
      <c r="K14" s="29" t="inlineStr">
        <is>
          <t>{"record_id":"rv-demo","model_version":"baseline-v1","taxonomy_version":"aspect-v1","aspects":[{"aspect":"design","sentiment":"positive"},{"aspect":"battery","sentiment":"negative"}]}</t>
        </is>
      </c>
      <c r="L14" s="29" t="inlineStr">
        <is>
          <t>SRC-02 §7.3; SRC-06 §3; SRC-07 ABSA</t>
        </is>
      </c>
    </row>
    <row r="15" ht="45.75" customHeight="1">
      <c r="A15" s="27" t="inlineStr">
        <is>
          <t>IO-11</t>
        </is>
      </c>
      <c r="B15" s="27" t="inlineStr">
        <is>
          <t>Metric / cohort context</t>
        </is>
      </c>
      <c r="C15" s="27" t="inlineStr">
        <is>
          <t>M5</t>
        </is>
      </c>
      <c r="D15" s="27" t="inlineStr">
        <is>
          <t>MOD-09</t>
        </is>
      </c>
      <c r="E15" s="27" t="inlineStr">
        <is>
          <t>MOD-10→MOD-04</t>
        </is>
      </c>
      <c r="F15" s="27" t="inlineStr">
        <is>
          <t>validated cohort filters; selected model/taxonomy; date_from/date_to</t>
        </is>
      </c>
      <c r="G15" s="27" t="inlineStr">
        <is>
          <t>metric_id; numerator/denominator/population_count; value; prior_value; delta_pp; model_version; freshness; lineage; filters</t>
        </is>
      </c>
      <c r="H15" s="27" t="inlineStr">
        <is>
          <t>Negative rate denominator = records mentioning selected aspect in cohort; empty denominator=no-data; not total Top-K; version dedup and timezone explicit.</t>
        </is>
      </c>
      <c r="I15" s="27" t="inlineStr">
        <is>
          <t>SQL aggregates/materialized views; analytics query logs</t>
        </is>
      </c>
      <c r="J15" s="27" t="inlineStr">
        <is>
          <t>GET /api/v1/analytics/... — mới; drill-down request context</t>
        </is>
      </c>
      <c r="K15" s="27" t="inlineStr">
        <is>
          <t>{"metric_id":"battery_negative_rate","numerator":39,"denominator":100,"value":0.39,"population_count":180,"synthetic":true}</t>
        </is>
      </c>
      <c r="L15" s="27" t="inlineStr">
        <is>
          <t>SRC-02 §7.4,3.4; SRC-04</t>
        </is>
      </c>
    </row>
    <row r="16" ht="45.75" customHeight="1">
      <c r="A16" s="29" t="inlineStr">
        <is>
          <t>IO-12</t>
        </is>
      </c>
      <c r="B16" s="29" t="inlineStr">
        <is>
          <t>Investigation / GraphContext</t>
        </is>
      </c>
      <c r="C16" s="29" t="inlineStr">
        <is>
          <t>M5→M6</t>
        </is>
      </c>
      <c r="D16" s="29" t="inlineStr">
        <is>
          <t>Analyst cohort + MOD-04/08</t>
        </is>
      </c>
      <c r="E16" s="29" t="inlineStr">
        <is>
          <t>MOD-10/06</t>
        </is>
      </c>
      <c r="F16" s="29" t="inlineStr">
        <is>
          <t>query; full cohort filters/date range; top_k; entity/product/version refs</t>
        </is>
      </c>
      <c r="G16" s="29" t="inlineStr">
        <is>
          <t>summary; evidence; hypotheses[{status,evidence_ids}]; graph paths/entities; population; graph/index/policy versions; issue owner/lifecycle</t>
        </is>
      </c>
      <c r="H16" s="29" t="inlineStr">
        <is>
          <t>Keep exact filters; 5–10 representative cases if enough; uncertain cause labeled; all edges source linked; graph query bounded.</t>
        </is>
      </c>
      <c r="I16" s="29" t="inlineStr">
        <is>
          <t>retrieval_sessions; Neo4j; issue assignments; investigation audit</t>
        </is>
      </c>
      <c r="J16" s="29" t="inlineStr">
        <is>
          <t>POST /api/v1/investigation/drilldown — hiện thiếu query/filter richness, mở rộng tương thích</t>
        </is>
      </c>
      <c r="K16" s="29" t="inlineStr">
        <is>
          <t>{"issue_id":"DEMO-ISSUE-1","root_cause_status":"hypothesis","evidence_ids":["rv-demo"],"graph_version":"demo-g1"}</t>
        </is>
      </c>
      <c r="L16" s="29" t="inlineStr">
        <is>
          <t>SRC-02 §7.6–7.7,9.2; SRC-08; SRC-16</t>
        </is>
      </c>
    </row>
    <row r="17" ht="45.75" customHeight="1">
      <c r="A17" s="27" t="inlineStr">
        <is>
          <t>IO-13</t>
        </is>
      </c>
      <c r="B17" s="27" t="inlineStr">
        <is>
          <t>Feedback / KnowledgeChange</t>
        </is>
      </c>
      <c r="C17" s="27" t="inlineStr">
        <is>
          <t>M3→M7</t>
        </is>
      </c>
      <c r="D17" s="27" t="inlineStr">
        <is>
          <t>Agent/analyst/steward</t>
        </is>
      </c>
      <c r="E17" s="27" t="inlineStr">
        <is>
          <t>MOD-11→MOD-07/08</t>
        </is>
      </c>
      <c r="F17" s="27" t="inlineStr">
        <is>
          <t>target_id/type; feedback_type; proposed change; evidence IDs; reason; source versions</t>
        </is>
      </c>
      <c r="G17" s="27" t="inlineStr">
        <is>
          <t>contribution_id; author/time; status; reviewer; approved payload; published knowledge/dataset version; conflict reason</t>
        </is>
      </c>
      <c r="H17" s="27" t="inlineStr">
        <is>
          <t>Auth-derived author; validate discriminated payload types; proposed→reviewed→approved/rejected→published; raw feedback never auto truth.</t>
        </is>
      </c>
      <c r="I17" s="27" t="inlineStr">
        <is>
          <t>annotations, model_feedback, knowledge_change_requests; versioned exports</t>
        </is>
      </c>
      <c r="J17" s="27" t="inlineStr">
        <is>
          <t>POST /api/v1/feedback/contribute — schema cần typed payload; steward review/publish API mới</t>
        </is>
      </c>
      <c r="K17" s="27" t="inlineStr">
        <is>
          <t>{"feedback_type":"absa_correction","target_id":"rv-demo","status":"proposed","corrected_aspects":[{"aspect":"battery","sentiment":"negative"}]}</t>
        </is>
      </c>
      <c r="L17" s="27" t="inlineStr">
        <is>
          <t>SRC-02 §7.10; SRC-06 §7; SRC-16</t>
        </is>
      </c>
    </row>
    <row r="18" ht="45.75" customHeight="1">
      <c r="A18" s="29" t="inlineStr">
        <is>
          <t>IO-14</t>
        </is>
      </c>
      <c r="B18" s="29" t="inlineStr">
        <is>
          <t>Evaluation report</t>
        </is>
      </c>
      <c r="C18" s="29" t="inlineStr">
        <is>
          <t>M1–M8</t>
        </is>
      </c>
      <c r="D18" s="29" t="inlineStr">
        <is>
          <t>Frozen eval datasets + candidate outputs</t>
        </is>
      </c>
      <c r="E18" s="29" t="inlineStr">
        <is>
          <t>Gate reviewer/CI</t>
        </is>
      </c>
      <c r="F18" s="29" t="inlineStr">
        <is>
          <t>test dataset/version/split; candidate config/hash; hardware; predictions; rubric</t>
        </is>
      </c>
      <c r="G18" s="29" t="inlineStr">
        <is>
          <t>metric values; sample_count; per-query/case results; thresholds; PASS/FAIL/NOT_RUN; limitations; artifacts paths</t>
        </is>
      </c>
      <c r="H18" s="29" t="inlineStr">
        <is>
          <t>No tuning on test; all missing runs explicit; no benchmark claims from fixtures; each mode evaluated same corpus.</t>
        </is>
      </c>
      <c r="I18" s="29" t="inlineStr">
        <is>
          <t>artifacts/evaluation/&lt;run_id&gt;; docs/reports; manifest</t>
        </is>
      </c>
      <c r="J18" s="29" t="inlineStr">
        <is>
          <t>pipelines/eval_absa, eval_retrieval, eval_resolution; CI artifacts</t>
        </is>
      </c>
      <c r="K18" s="29" t="inlineStr">
        <is>
          <t>{"run_id":"TO_BE_GENERATED","metric":"macro_f1","value":null,"status":"NOT_RUN","dataset_version":"TO_BE_FROZEN"}</t>
        </is>
      </c>
      <c r="L18" s="29" t="inlineStr">
        <is>
          <t>SRC-02 §13,21; SRC-06; SRC-07</t>
        </is>
      </c>
    </row>
    <row r="19" ht="45.75" customHeight="1">
      <c r="A19" s="27" t="inlineStr">
        <is>
          <t>IO-15</t>
        </is>
      </c>
      <c r="B19" s="27" t="inlineStr">
        <is>
          <t>Release / audit manifest</t>
        </is>
      </c>
      <c r="C19" s="27" t="inlineStr">
        <is>
          <t>M0–M8</t>
        </is>
      </c>
      <c r="D19" s="27" t="inlineStr">
        <is>
          <t>Build/train/index/publish workflows</t>
        </is>
      </c>
      <c r="E19" s="27" t="inlineStr">
        <is>
          <t>Ops/steward/reviewer</t>
        </is>
      </c>
      <c r="F19" s="27" t="inlineStr">
        <is>
          <t>git SHA; config/lock; dataset/model/index/graph/policy/prompt revisions; eval artifacts</t>
        </is>
      </c>
      <c r="G19" s="27" t="inlineStr">
        <is>
          <t>immutable digest/hash map; environment; trace dimensions; reviewer/action; backup/rollback refs; cost/timing; status</t>
        </is>
      </c>
      <c r="H19" s="27" t="inlineStr">
        <is>
          <t>Same image staging→prod; app/model/knowledge rollback separate; secret/PII redacted; verified provenance.</t>
        </is>
      </c>
      <c r="I19" s="27" t="inlineStr">
        <is>
          <t>S3/local artifacts; audit DB; redacted traces/logs</t>
        </is>
      </c>
      <c r="J19" s="27" t="inlineStr">
        <is>
          <t>run-manifest.json; health live/ready/startup; observability</t>
        </is>
      </c>
      <c r="K19" s="27" t="inlineStr">
        <is>
          <t>{"git_sha":"TO_BE_BUILT","image_digest":"TO_BE_BUILT","model_version":"TO_BE_SELECTED","eval_status":"NOT_RUN","environment":"demo"}</t>
        </is>
      </c>
      <c r="L19" s="27" t="inlineStr">
        <is>
          <t>SRC-02 §14–16,21; SRC-15; SRC-07</t>
        </is>
      </c>
    </row>
  </sheetData>
  <autoFilter ref="A4:L19"/>
  <mergeCells count="2">
    <mergeCell ref="A1:L1"/>
    <mergeCell ref="A2:L2"/>
  </mergeCells>
  <hyperlinks>
    <hyperlink ref="A3" location="'Cover Page'!A1" display="← Cover Page"/>
  </hyperlinks>
  <pageMargins left="0.7" right="0.7" top="0.75" bottom="0.75" header="0.3" footer="0.3"/>
  <pageSetup orientation="landscape" paperSize="8" fitToHeight="0"/>
  <headerFooter>
    <oddHeader/>
    <oddFooter>&amp;CSenticRAG | Kế hoạch triển khai |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FF087E8B"/>
    <outlinePr summaryBelow="1" summaryRight="1"/>
    <pageSetUpPr fitToPage="1"/>
  </sheetPr>
  <dimension ref="A1:J94"/>
  <sheetViews>
    <sheetView showGridLines="0" zoomScale="85" zoomScaleNormal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.7109375" customWidth="1" min="1" max="1"/>
    <col width="85.7109375" customWidth="1" min="2" max="2"/>
    <col width="60.7109375" customWidth="1" min="3" max="4"/>
    <col width="55.7109375" customWidth="1" min="5" max="5"/>
    <col width="38.7109375" customWidth="1" min="6" max="6"/>
    <col width="24.7109375" customWidth="1" min="7" max="7"/>
    <col width="55.7109375" customWidth="1" min="8" max="8"/>
    <col width="75.7109375" customWidth="1" min="9" max="9"/>
    <col width="40.7109375" customWidth="1" min="10" max="10"/>
  </cols>
  <sheetData>
    <row r="1" ht="36" customHeight="1">
      <c r="A1" s="7" t="inlineStr">
        <is>
          <t>PROPOSAL → USER STORY → TASK → CONTRACT → GATE</t>
        </is>
      </c>
    </row>
    <row r="2" ht="36" customHeight="1">
      <c r="A2" s="8" t="inlineStr">
        <is>
          <t>Bao phủ nghĩa là mọi nhóm yêu cầu đã được lập kế hoạch/ghi scope; không đồng nghĩa mọi mục đã triển khai hoặc đạt production. PM/KS acceptance IDs do kế hoạch đặt để truy vết.</t>
        </is>
      </c>
    </row>
    <row r="3">
      <c r="A3" s="9" t="inlineStr">
        <is>
          <t>← Cover Page</t>
        </is>
      </c>
    </row>
    <row r="4" ht="33.75" customHeight="1">
      <c r="A4" s="26" t="inlineStr">
        <is>
          <t>Requirement ID</t>
        </is>
      </c>
      <c r="B4" s="26" t="inlineStr">
        <is>
          <t>Yêu cầu</t>
        </is>
      </c>
      <c r="C4" s="26" t="inlineStr">
        <is>
          <t>Nguồn</t>
        </is>
      </c>
      <c r="D4" s="26" t="inlineStr">
        <is>
          <t>Tasks</t>
        </is>
      </c>
      <c r="E4" s="26" t="inlineStr">
        <is>
          <t>Modules</t>
        </is>
      </c>
      <c r="F4" s="26" t="inlineStr">
        <is>
          <t>I/O contracts</t>
        </is>
      </c>
      <c r="G4" s="26" t="inlineStr">
        <is>
          <t>Gate</t>
        </is>
      </c>
      <c r="H4" s="26" t="inlineStr">
        <is>
          <t>Scope class</t>
        </is>
      </c>
      <c r="I4" s="26" t="inlineStr">
        <is>
          <t>Evidence cần có</t>
        </is>
      </c>
      <c r="J4" s="26" t="inlineStr">
        <is>
          <t>Trạng thái nghiệm thu</t>
        </is>
      </c>
    </row>
    <row r="5" ht="35.25" customHeight="1">
      <c r="A5" s="27" t="inlineStr">
        <is>
          <t>BUY-AC-01</t>
        </is>
      </c>
      <c r="B5" s="27" t="inlineStr">
        <is>
          <t>Ticket lưu aspect/sentiment/entities và model version</t>
        </is>
      </c>
      <c r="C5" s="27" t="inlineStr">
        <is>
          <t>SRC-02 §3.1–3.3</t>
        </is>
      </c>
      <c r="D5" s="27" t="inlineStr">
        <is>
          <t>M4.1,M4.5,M4.7</t>
        </is>
      </c>
      <c r="E5" s="27" t="inlineStr">
        <is>
          <t>MOD-07</t>
        </is>
      </c>
      <c r="F5" s="27" t="inlineStr">
        <is>
          <t>IO-03,IO-10</t>
        </is>
      </c>
      <c r="G5" s="27" t="inlineStr">
        <is>
          <t>G4</t>
        </is>
      </c>
      <c r="H5" s="27" t="inlineStr">
        <is>
          <t>Core demo</t>
        </is>
      </c>
      <c r="I5" s="27" t="inlineStr">
        <is>
          <t>Test/eval report + UI/API demo + audit/manifest</t>
        </is>
      </c>
      <c r="J5" s="27" t="inlineStr">
        <is>
          <t>PLANNED — chưa nghiệm thu</t>
        </is>
      </c>
    </row>
    <row r="6" ht="35.25" customHeight="1">
      <c r="A6" s="29" t="inlineStr">
        <is>
          <t>BUY-AC-02</t>
        </is>
      </c>
      <c r="B6" s="29" t="inlineStr">
        <is>
          <t>Draft có policy ID/version phù hợp</t>
        </is>
      </c>
      <c r="C6" s="29" t="inlineStr">
        <is>
          <t>SRC-02 §3.1–3.3</t>
        </is>
      </c>
      <c r="D6" s="29" t="inlineStr">
        <is>
          <t>M1.3,M3.3,M3.4</t>
        </is>
      </c>
      <c r="E6" s="29" t="inlineStr">
        <is>
          <t>MOD-06</t>
        </is>
      </c>
      <c r="F6" s="29" t="inlineStr">
        <is>
          <t>IO-07,IO-08</t>
        </is>
      </c>
      <c r="G6" s="29" t="inlineStr">
        <is>
          <t>G3</t>
        </is>
      </c>
      <c r="H6" s="29" t="inlineStr">
        <is>
          <t>Core demo</t>
        </is>
      </c>
      <c r="I6" s="29" t="inlineStr">
        <is>
          <t>Test/eval report + UI/API demo + audit/manifest</t>
        </is>
      </c>
      <c r="J6" s="29" t="inlineStr">
        <is>
          <t>PLANNED — chưa nghiệm thu</t>
        </is>
      </c>
    </row>
    <row r="7" ht="35.25" customHeight="1">
      <c r="A7" s="27" t="inlineStr">
        <is>
          <t>BUY-AC-03</t>
        </is>
      </c>
      <c r="B7" s="27" t="inlineStr">
        <is>
          <t>Khẳng định root cause truy ngược tới evidence</t>
        </is>
      </c>
      <c r="C7" s="27" t="inlineStr">
        <is>
          <t>SRC-02 §3.1–3.3</t>
        </is>
      </c>
      <c r="D7" s="27" t="inlineStr">
        <is>
          <t>M6.3,M6.4,M6.8</t>
        </is>
      </c>
      <c r="E7" s="27" t="inlineStr">
        <is>
          <t>MOD-08</t>
        </is>
      </c>
      <c r="F7" s="27" t="inlineStr">
        <is>
          <t>IO-05,IO-12</t>
        </is>
      </c>
      <c r="G7" s="27" t="inlineStr">
        <is>
          <t>G6</t>
        </is>
      </c>
      <c r="H7" s="27" t="inlineStr">
        <is>
          <t>Core demo</t>
        </is>
      </c>
      <c r="I7" s="27" t="inlineStr">
        <is>
          <t>Test/eval report + UI/API demo + audit/manifest</t>
        </is>
      </c>
      <c r="J7" s="27" t="inlineStr">
        <is>
          <t>PLANNED — chưa nghiệm thu</t>
        </is>
      </c>
    </row>
    <row r="8" ht="35.25" customHeight="1">
      <c r="A8" s="29" t="inlineStr">
        <is>
          <t>BUY-AC-04</t>
        </is>
      </c>
      <c r="B8" s="29" t="inlineStr">
        <is>
          <t>Thiếu evidence/policy phải hỏi thêm hoặc review; không đoán</t>
        </is>
      </c>
      <c r="C8" s="29" t="inlineStr">
        <is>
          <t>SRC-02 §3.1–3.3</t>
        </is>
      </c>
      <c r="D8" s="29" t="inlineStr">
        <is>
          <t>M2.4,M2.8,M3.7,M6.4</t>
        </is>
      </c>
      <c r="E8" s="29" t="inlineStr">
        <is>
          <t>MOD-03,MOD-06</t>
        </is>
      </c>
      <c r="F8" s="29" t="inlineStr">
        <is>
          <t>IO-02,IO-08</t>
        </is>
      </c>
      <c r="G8" s="29" t="inlineStr">
        <is>
          <t>G2,G3,G6</t>
        </is>
      </c>
      <c r="H8" s="29" t="inlineStr">
        <is>
          <t>Core demo</t>
        </is>
      </c>
      <c r="I8" s="29" t="inlineStr">
        <is>
          <t>Test/eval report + UI/API demo + audit/manifest</t>
        </is>
      </c>
      <c r="J8" s="29" t="inlineStr">
        <is>
          <t>PLANNED — chưa nghiệm thu</t>
        </is>
      </c>
    </row>
    <row r="9" ht="35.25" customHeight="1">
      <c r="A9" s="27" t="inlineStr">
        <is>
          <t>BUY-AC-05</t>
        </is>
      </c>
      <c r="B9" s="27" t="inlineStr">
        <is>
          <t>Resolved outcome gắn ticket/resolution</t>
        </is>
      </c>
      <c r="C9" s="27" t="inlineStr">
        <is>
          <t>SRC-02 §3.1–3.3</t>
        </is>
      </c>
      <c r="D9" s="27" t="inlineStr">
        <is>
          <t>M3.6,M7.5</t>
        </is>
      </c>
      <c r="E9" s="27" t="inlineStr">
        <is>
          <t>MOD-06,MOD-09</t>
        </is>
      </c>
      <c r="F9" s="27" t="inlineStr">
        <is>
          <t>IO-09</t>
        </is>
      </c>
      <c r="G9" s="27" t="inlineStr">
        <is>
          <t>G3,G7</t>
        </is>
      </c>
      <c r="H9" s="27" t="inlineStr">
        <is>
          <t>Core demo</t>
        </is>
      </c>
      <c r="I9" s="27" t="inlineStr">
        <is>
          <t>Test/eval report + UI/API demo + audit/manifest</t>
        </is>
      </c>
      <c r="J9" s="27" t="inlineStr">
        <is>
          <t>PLANNED — chưa nghiệm thu</t>
        </is>
      </c>
    </row>
    <row r="10" ht="35.25" customHeight="1">
      <c r="A10" s="29" t="inlineStr">
        <is>
          <t>AG-AC-01</t>
        </is>
      </c>
      <c r="B10" s="29" t="inlineStr">
        <is>
          <t>Không hiển thị hypothesis như fact</t>
        </is>
      </c>
      <c r="C10" s="29" t="inlineStr">
        <is>
          <t>SRC-02 §3.1–3.3</t>
        </is>
      </c>
      <c r="D10" s="29" t="inlineStr">
        <is>
          <t>M3.5,M6.4,M6.5</t>
        </is>
      </c>
      <c r="E10" s="29" t="inlineStr">
        <is>
          <t>MOD-08,MOD-11</t>
        </is>
      </c>
      <c r="F10" s="29" t="inlineStr">
        <is>
          <t>IO-08,IO-12</t>
        </is>
      </c>
      <c r="G10" s="29" t="inlineStr">
        <is>
          <t>G3,G6</t>
        </is>
      </c>
      <c r="H10" s="29" t="inlineStr">
        <is>
          <t>Core demo</t>
        </is>
      </c>
      <c r="I10" s="29" t="inlineStr">
        <is>
          <t>Test/eval report + UI/API demo + audit/manifest</t>
        </is>
      </c>
      <c r="J10" s="29" t="inlineStr">
        <is>
          <t>PLANNED — chưa nghiệm thu</t>
        </is>
      </c>
    </row>
    <row r="11" ht="35.25" customHeight="1">
      <c r="A11" s="27" t="inlineStr">
        <is>
          <t>AG-AC-02</t>
        </is>
      </c>
      <c r="B11" s="27" t="inlineStr">
        <is>
          <t>Policy có source/version/effective date</t>
        </is>
      </c>
      <c r="C11" s="27" t="inlineStr">
        <is>
          <t>SRC-02 §3.1–3.3</t>
        </is>
      </c>
      <c r="D11" s="27" t="inlineStr">
        <is>
          <t>M1.3,M3.3,M6.7</t>
        </is>
      </c>
      <c r="E11" s="27" t="inlineStr">
        <is>
          <t>MOD-06</t>
        </is>
      </c>
      <c r="F11" s="27" t="inlineStr">
        <is>
          <t>IO-04,IO-07</t>
        </is>
      </c>
      <c r="G11" s="27" t="inlineStr">
        <is>
          <t>G1,G3,G6</t>
        </is>
      </c>
      <c r="H11" s="27" t="inlineStr">
        <is>
          <t>Core demo</t>
        </is>
      </c>
      <c r="I11" s="27" t="inlineStr">
        <is>
          <t>Test/eval report + UI/API demo + audit/manifest</t>
        </is>
      </c>
      <c r="J11" s="27" t="inlineStr">
        <is>
          <t>PLANNED — chưa nghiệm thu</t>
        </is>
      </c>
    </row>
    <row r="12" ht="35.25" customHeight="1">
      <c r="A12" s="29" t="inlineStr">
        <is>
          <t>AG-AC-03</t>
        </is>
      </c>
      <c r="B12" s="29" t="inlineStr">
        <is>
          <t>Approve/edit/reject có lý do và feedback log</t>
        </is>
      </c>
      <c r="C12" s="29" t="inlineStr">
        <is>
          <t>SRC-02 §3.1–3.3</t>
        </is>
      </c>
      <c r="D12" s="29" t="inlineStr">
        <is>
          <t>M3.5,M3.6,M7.1</t>
        </is>
      </c>
      <c r="E12" s="29" t="inlineStr">
        <is>
          <t>MOD-11</t>
        </is>
      </c>
      <c r="F12" s="29" t="inlineStr">
        <is>
          <t>IO-09,IO-13</t>
        </is>
      </c>
      <c r="G12" s="29" t="inlineStr">
        <is>
          <t>G3,G7</t>
        </is>
      </c>
      <c r="H12" s="29" t="inlineStr">
        <is>
          <t>Core demo</t>
        </is>
      </c>
      <c r="I12" s="29" t="inlineStr">
        <is>
          <t>Test/eval report + UI/API demo + audit/manifest</t>
        </is>
      </c>
      <c r="J12" s="29" t="inlineStr">
        <is>
          <t>PLANNED — chưa nghiệm thu</t>
        </is>
      </c>
    </row>
    <row r="13" ht="35.25" customHeight="1">
      <c r="A13" s="27" t="inlineStr">
        <is>
          <t>AG-AC-04</t>
        </is>
      </c>
      <c r="B13" s="27" t="inlineStr">
        <is>
          <t>Agent xem evidence gốc trước gửi</t>
        </is>
      </c>
      <c r="C13" s="27" t="inlineStr">
        <is>
          <t>SRC-02 §3.1–3.3</t>
        </is>
      </c>
      <c r="D13" s="27" t="inlineStr">
        <is>
          <t>M3.5,M3.7</t>
        </is>
      </c>
      <c r="E13" s="27" t="inlineStr">
        <is>
          <t>MOD-04,MOD-11</t>
        </is>
      </c>
      <c r="F13" s="27" t="inlineStr">
        <is>
          <t>IO-05,IO-08</t>
        </is>
      </c>
      <c r="G13" s="27" t="inlineStr">
        <is>
          <t>G3</t>
        </is>
      </c>
      <c r="H13" s="27" t="inlineStr">
        <is>
          <t>Core demo</t>
        </is>
      </c>
      <c r="I13" s="27" t="inlineStr">
        <is>
          <t>Test/eval report + UI/API demo + audit/manifest</t>
        </is>
      </c>
      <c r="J13" s="27" t="inlineStr">
        <is>
          <t>PLANNED — chưa nghiệm thu</t>
        </is>
      </c>
    </row>
    <row r="14" ht="35.25" customHeight="1">
      <c r="A14" s="29" t="inlineStr">
        <is>
          <t>AG-AC-05</t>
        </is>
      </c>
      <c r="B14" s="29" t="inlineStr">
        <is>
          <t>Persist state/action/final response để tính MTTR/FCR/CSAT</t>
        </is>
      </c>
      <c r="C14" s="29" t="inlineStr">
        <is>
          <t>SRC-02 §3.1–3.3</t>
        </is>
      </c>
      <c r="D14" s="29" t="inlineStr">
        <is>
          <t>M3.6,M5.2,M8.7</t>
        </is>
      </c>
      <c r="E14" s="29" t="inlineStr">
        <is>
          <t>MOD-06,MOD-09</t>
        </is>
      </c>
      <c r="F14" s="29" t="inlineStr">
        <is>
          <t>IO-09,IO-11</t>
        </is>
      </c>
      <c r="G14" s="29" t="inlineStr">
        <is>
          <t>G3,G5,G8</t>
        </is>
      </c>
      <c r="H14" s="29" t="inlineStr">
        <is>
          <t>Core demo</t>
        </is>
      </c>
      <c r="I14" s="29" t="inlineStr">
        <is>
          <t>Test/eval report + UI/API demo + audit/manifest</t>
        </is>
      </c>
      <c r="J14" s="29" t="inlineStr">
        <is>
          <t>PLANNED — chưa nghiệm thu</t>
        </is>
      </c>
    </row>
    <row r="15" ht="35.25" customHeight="1">
      <c r="A15" s="27" t="inlineStr">
        <is>
          <t>AN-AC-01</t>
        </is>
      </c>
      <c r="B15" s="27" t="inlineStr">
        <is>
          <t>Dashboard truy ngược population và bản ghi được tính</t>
        </is>
      </c>
      <c r="C15" s="27" t="inlineStr">
        <is>
          <t>SRC-02 §3.1–3.3</t>
        </is>
      </c>
      <c r="D15" s="27" t="inlineStr">
        <is>
          <t>M4.5,M5.1,M5.4</t>
        </is>
      </c>
      <c r="E15" s="27" t="inlineStr">
        <is>
          <t>MOD-07,MOD-09</t>
        </is>
      </c>
      <c r="F15" s="27" t="inlineStr">
        <is>
          <t>IO-10,IO-11</t>
        </is>
      </c>
      <c r="G15" s="27" t="inlineStr">
        <is>
          <t>G4,G5</t>
        </is>
      </c>
      <c r="H15" s="27" t="inlineStr">
        <is>
          <t>Core demo</t>
        </is>
      </c>
      <c r="I15" s="27" t="inlineStr">
        <is>
          <t>Test/eval report + UI/API demo + audit/manifest</t>
        </is>
      </c>
      <c r="J15" s="27" t="inlineStr">
        <is>
          <t>PLANNED — chưa nghiệm thu</t>
        </is>
      </c>
    </row>
    <row r="16" ht="35.25" customHeight="1">
      <c r="A16" s="29" t="inlineStr">
        <is>
          <t>AN-AC-02</t>
        </is>
      </c>
      <c r="B16" s="29" t="inlineStr">
        <is>
          <t>Investigation giữ nguyên filters từ dashboard</t>
        </is>
      </c>
      <c r="C16" s="29" t="inlineStr">
        <is>
          <t>SRC-02 §3.1–3.3</t>
        </is>
      </c>
      <c r="D16" s="29" t="inlineStr">
        <is>
          <t>M5.3,M5.4</t>
        </is>
      </c>
      <c r="E16" s="29" t="inlineStr">
        <is>
          <t>MOD-04,MOD-10</t>
        </is>
      </c>
      <c r="F16" s="29" t="inlineStr">
        <is>
          <t>IO-11,IO-12</t>
        </is>
      </c>
      <c r="G16" s="29" t="inlineStr">
        <is>
          <t>G5</t>
        </is>
      </c>
      <c r="H16" s="29" t="inlineStr">
        <is>
          <t>Core demo</t>
        </is>
      </c>
      <c r="I16" s="29" t="inlineStr">
        <is>
          <t>Test/eval report + UI/API demo + audit/manifest</t>
        </is>
      </c>
      <c r="J16" s="29" t="inlineStr">
        <is>
          <t>PLANNED — chưa nghiệm thu</t>
        </is>
      </c>
    </row>
    <row r="17" ht="35.25" customHeight="1">
      <c r="A17" s="27" t="inlineStr">
        <is>
          <t>AN-AC-03</t>
        </is>
      </c>
      <c r="B17" s="27" t="inlineStr">
        <is>
          <t>Retrieval có source IDs và timestamp</t>
        </is>
      </c>
      <c r="C17" s="27" t="inlineStr">
        <is>
          <t>SRC-02 §3.1–3.3</t>
        </is>
      </c>
      <c r="D17" s="27" t="inlineStr">
        <is>
          <t>M2.1,M5.3</t>
        </is>
      </c>
      <c r="E17" s="27" t="inlineStr">
        <is>
          <t>MOD-04</t>
        </is>
      </c>
      <c r="F17" s="27" t="inlineStr">
        <is>
          <t>IO-05</t>
        </is>
      </c>
      <c r="G17" s="27" t="inlineStr">
        <is>
          <t>G2,G5</t>
        </is>
      </c>
      <c r="H17" s="27" t="inlineStr">
        <is>
          <t>Core demo</t>
        </is>
      </c>
      <c r="I17" s="27" t="inlineStr">
        <is>
          <t>Test/eval report + UI/API demo + audit/manifest</t>
        </is>
      </c>
      <c r="J17" s="27" t="inlineStr">
        <is>
          <t>PLANNED — chưa nghiệm thu</t>
        </is>
      </c>
    </row>
    <row r="18" ht="35.25" customHeight="1">
      <c r="A18" s="29" t="inlineStr">
        <is>
          <t>AN-AC-04</t>
        </is>
      </c>
      <c r="B18" s="29" t="inlineStr">
        <is>
          <t>Annotation có version/author/time</t>
        </is>
      </c>
      <c r="C18" s="29" t="inlineStr">
        <is>
          <t>SRC-02 §3.1–3.3</t>
        </is>
      </c>
      <c r="D18" s="29" t="inlineStr">
        <is>
          <t>M4.7,M6.5,M7.1</t>
        </is>
      </c>
      <c r="E18" s="29" t="inlineStr">
        <is>
          <t>MOD-11</t>
        </is>
      </c>
      <c r="F18" s="29" t="inlineStr">
        <is>
          <t>IO-13</t>
        </is>
      </c>
      <c r="G18" s="29" t="inlineStr">
        <is>
          <t>G4,G6,G7</t>
        </is>
      </c>
      <c r="H18" s="29" t="inlineStr">
        <is>
          <t>Core demo</t>
        </is>
      </c>
      <c r="I18" s="29" t="inlineStr">
        <is>
          <t>Test/eval report + UI/API demo + audit/manifest</t>
        </is>
      </c>
      <c r="J18" s="29" t="inlineStr">
        <is>
          <t>PLANNED — chưa nghiệm thu</t>
        </is>
      </c>
    </row>
    <row r="19" ht="35.25" customHeight="1">
      <c r="A19" s="27" t="inlineStr">
        <is>
          <t>AN-AC-05</t>
        </is>
      </c>
      <c r="B19" s="27" t="inlineStr">
        <is>
          <t>Graph update có approval/audit, không silent overwrite</t>
        </is>
      </c>
      <c r="C19" s="27" t="inlineStr">
        <is>
          <t>SRC-02 §3.1–3.3</t>
        </is>
      </c>
      <c r="D19" s="27" t="inlineStr">
        <is>
          <t>M6.6,M6.7</t>
        </is>
      </c>
      <c r="E19" s="27" t="inlineStr">
        <is>
          <t>MOD-08,MOD-11</t>
        </is>
      </c>
      <c r="F19" s="27" t="inlineStr">
        <is>
          <t>IO-13,IO-15</t>
        </is>
      </c>
      <c r="G19" s="27" t="inlineStr">
        <is>
          <t>G6</t>
        </is>
      </c>
      <c r="H19" s="27" t="inlineStr">
        <is>
          <t>Core demo</t>
        </is>
      </c>
      <c r="I19" s="27" t="inlineStr">
        <is>
          <t>Test/eval report + UI/API demo + audit/manifest</t>
        </is>
      </c>
      <c r="J19" s="27" t="inlineStr">
        <is>
          <t>PLANNED — chưa nghiệm thu</t>
        </is>
      </c>
    </row>
    <row r="20" ht="35.25" customHeight="1">
      <c r="A20" s="29" t="inlineStr">
        <is>
          <t>AN-AC-06</t>
        </is>
      </c>
      <c r="B20" s="29" t="inlineStr">
        <is>
          <t>Corrected ABSA labels export được sang train/eval</t>
        </is>
      </c>
      <c r="C20" s="29" t="inlineStr">
        <is>
          <t>SRC-02 §3.1–3.3</t>
        </is>
      </c>
      <c r="D20" s="29" t="inlineStr">
        <is>
          <t>M7.1,M7.2,M7.5</t>
        </is>
      </c>
      <c r="E20" s="29" t="inlineStr">
        <is>
          <t>MOD-07,MOD-11</t>
        </is>
      </c>
      <c r="F20" s="29" t="inlineStr">
        <is>
          <t>IO-10,IO-13</t>
        </is>
      </c>
      <c r="G20" s="29" t="inlineStr">
        <is>
          <t>G7</t>
        </is>
      </c>
      <c r="H20" s="29" t="inlineStr">
        <is>
          <t>Core demo</t>
        </is>
      </c>
      <c r="I20" s="29" t="inlineStr">
        <is>
          <t>Test/eval report + UI/API demo + audit/manifest</t>
        </is>
      </c>
      <c r="J20" s="29" t="inlineStr">
        <is>
          <t>PLANNED — chưa nghiệm thu</t>
        </is>
      </c>
    </row>
    <row r="21" ht="45.75" customHeight="1">
      <c r="A21" s="27" t="inlineStr">
        <is>
          <t>PM-AC-01</t>
        </is>
      </c>
      <c r="B21" s="27" t="inlineStr">
        <is>
          <t>Population size và denominator theo SKU/hardware/firmware</t>
        </is>
      </c>
      <c r="C21" s="27" t="inlineStr">
        <is>
          <t>SRC-02 §3.4–3.5; SRC-05 §3–4 (ID PM/KS do kế hoạch đặt)</t>
        </is>
      </c>
      <c r="D21" s="27" t="inlineStr">
        <is>
          <t>M5.1,M5.2,M5.4</t>
        </is>
      </c>
      <c r="E21" s="27" t="inlineStr">
        <is>
          <t>MOD-09,MOD-10</t>
        </is>
      </c>
      <c r="F21" s="27" t="inlineStr">
        <is>
          <t>IO-11</t>
        </is>
      </c>
      <c r="G21" s="27" t="inlineStr">
        <is>
          <t>G5</t>
        </is>
      </c>
      <c r="H21" s="27" t="inlineStr">
        <is>
          <t>Core demo</t>
        </is>
      </c>
      <c r="I21" s="27" t="inlineStr">
        <is>
          <t>Test/eval report + UI/API demo + audit/manifest</t>
        </is>
      </c>
      <c r="J21" s="27" t="inlineStr">
        <is>
          <t>PLANNED — chưa nghiệm thu</t>
        </is>
      </c>
    </row>
    <row r="22" ht="45.75" customHeight="1">
      <c r="A22" s="29" t="inlineStr">
        <is>
          <t>PM-AC-02</t>
        </is>
      </c>
      <c r="B22" s="29" t="inlineStr">
        <is>
          <t>Root-cause hypothesis/confirmed/rejected hiển thị rõ</t>
        </is>
      </c>
      <c r="C22" s="29" t="inlineStr">
        <is>
          <t>SRC-02 §3.4–3.5; SRC-05 §3–4 (ID PM/KS do kế hoạch đặt)</t>
        </is>
      </c>
      <c r="D22" s="29" t="inlineStr">
        <is>
          <t>M6.1,M6.5</t>
        </is>
      </c>
      <c r="E22" s="29" t="inlineStr">
        <is>
          <t>MOD-08,MOD-10</t>
        </is>
      </c>
      <c r="F22" s="29" t="inlineStr">
        <is>
          <t>IO-12</t>
        </is>
      </c>
      <c r="G22" s="29" t="inlineStr">
        <is>
          <t>G6</t>
        </is>
      </c>
      <c r="H22" s="29" t="inlineStr">
        <is>
          <t>Core demo</t>
        </is>
      </c>
      <c r="I22" s="29" t="inlineStr">
        <is>
          <t>Test/eval report + UI/API demo + audit/manifest</t>
        </is>
      </c>
      <c r="J22" s="29" t="inlineStr">
        <is>
          <t>PLANNED — chưa nghiệm thu</t>
        </is>
      </c>
    </row>
    <row r="23" ht="45.75" customHeight="1">
      <c r="A23" s="27" t="inlineStr">
        <is>
          <t>PM-AC-03</t>
        </is>
      </c>
      <c r="B23" s="27" t="inlineStr">
        <is>
          <t>Resolution success/reopen/recurrence/MTTR/FCR/CSAT/cost</t>
        </is>
      </c>
      <c r="C23" s="27" t="inlineStr">
        <is>
          <t>SRC-02 §3.4–3.5; SRC-05 §3–4 (ID PM/KS do kế hoạch đặt)</t>
        </is>
      </c>
      <c r="D23" s="27" t="inlineStr">
        <is>
          <t>M3.6,M5.2,M7.5,M8.7</t>
        </is>
      </c>
      <c r="E23" s="27" t="inlineStr">
        <is>
          <t>MOD-09</t>
        </is>
      </c>
      <c r="F23" s="27" t="inlineStr">
        <is>
          <t>IO-09,IO-11</t>
        </is>
      </c>
      <c r="G23" s="27" t="inlineStr">
        <is>
          <t>G5,G7,G8</t>
        </is>
      </c>
      <c r="H23" s="27" t="inlineStr">
        <is>
          <t>Core demo</t>
        </is>
      </c>
      <c r="I23" s="27" t="inlineStr">
        <is>
          <t>Test/eval report + UI/API demo + audit/manifest</t>
        </is>
      </c>
      <c r="J23" s="27" t="inlineStr">
        <is>
          <t>PLANNED — chưa nghiệm thu</t>
        </is>
      </c>
    </row>
    <row r="24" ht="45.75" customHeight="1">
      <c r="A24" s="29" t="inlineStr">
        <is>
          <t>PM-AC-04</t>
        </is>
      </c>
      <c r="B24" s="29" t="inlineStr">
        <is>
          <t>Mỗi issue có owner và lifecycle</t>
        </is>
      </c>
      <c r="C24" s="29" t="inlineStr">
        <is>
          <t>SRC-02 §3.4–3.5; SRC-05 §3–4 (ID PM/KS do kế hoạch đặt)</t>
        </is>
      </c>
      <c r="D24" s="29" t="inlineStr">
        <is>
          <t>M6.1,M6.5</t>
        </is>
      </c>
      <c r="E24" s="29" t="inlineStr">
        <is>
          <t>MOD-08,MOD-10</t>
        </is>
      </c>
      <c r="F24" s="29" t="inlineStr">
        <is>
          <t>IO-12</t>
        </is>
      </c>
      <c r="G24" s="29" t="inlineStr">
        <is>
          <t>G6</t>
        </is>
      </c>
      <c r="H24" s="29" t="inlineStr">
        <is>
          <t>Core demo</t>
        </is>
      </c>
      <c r="I24" s="29" t="inlineStr">
        <is>
          <t>Test/eval report + UI/API demo + audit/manifest</t>
        </is>
      </c>
      <c r="J24" s="29" t="inlineStr">
        <is>
          <t>PLANNED — chưa nghiệm thu</t>
        </is>
      </c>
    </row>
    <row r="25" ht="45.75" customHeight="1">
      <c r="A25" s="27" t="inlineStr">
        <is>
          <t>PM-AC-05</t>
        </is>
      </c>
      <c r="B25" s="27" t="inlineStr">
        <is>
          <t>Drill-down tôn trọng role và tối thiểu PII</t>
        </is>
      </c>
      <c r="C25" s="27" t="inlineStr">
        <is>
          <t>SRC-02 §3.4–3.5; SRC-05 §3–4 (ID PM/KS do kế hoạch đặt)</t>
        </is>
      </c>
      <c r="D25" s="27" t="inlineStr">
        <is>
          <t>M5.2,M5.4,M8.5</t>
        </is>
      </c>
      <c r="E25" s="27" t="inlineStr">
        <is>
          <t>MOD-10,MOD-12</t>
        </is>
      </c>
      <c r="F25" s="27" t="inlineStr">
        <is>
          <t>IO-11,IO-12</t>
        </is>
      </c>
      <c r="G25" s="27" t="inlineStr">
        <is>
          <t>G5,G8</t>
        </is>
      </c>
      <c r="H25" s="27" t="inlineStr">
        <is>
          <t>Core demo</t>
        </is>
      </c>
      <c r="I25" s="27" t="inlineStr">
        <is>
          <t>Test/eval report + UI/API demo + audit/manifest</t>
        </is>
      </c>
      <c r="J25" s="27" t="inlineStr">
        <is>
          <t>PLANNED — chưa nghiệm thu</t>
        </is>
      </c>
    </row>
    <row r="26" ht="45.75" customHeight="1">
      <c r="A26" s="29" t="inlineStr">
        <is>
          <t>KS-AC-01</t>
        </is>
      </c>
      <c r="B26" s="29" t="inlineStr">
        <is>
          <t>Approve/reject graph changes theo quyền</t>
        </is>
      </c>
      <c r="C26" s="29" t="inlineStr">
        <is>
          <t>SRC-02 §3.4–3.5; SRC-05 §3–4 (ID PM/KS do kế hoạch đặt)</t>
        </is>
      </c>
      <c r="D26" s="29" t="inlineStr">
        <is>
          <t>M6.6,M6.8</t>
        </is>
      </c>
      <c r="E26" s="29" t="inlineStr">
        <is>
          <t>MOD-08,MOD-11</t>
        </is>
      </c>
      <c r="F26" s="29" t="inlineStr">
        <is>
          <t>IO-13</t>
        </is>
      </c>
      <c r="G26" s="29" t="inlineStr">
        <is>
          <t>G6</t>
        </is>
      </c>
      <c r="H26" s="29" t="inlineStr">
        <is>
          <t>Core demo</t>
        </is>
      </c>
      <c r="I26" s="29" t="inlineStr">
        <is>
          <t>Test/eval report + UI/API demo + audit/manifest</t>
        </is>
      </c>
      <c r="J26" s="29" t="inlineStr">
        <is>
          <t>PLANNED — chưa nghiệm thu</t>
        </is>
      </c>
    </row>
    <row r="27" ht="45.75" customHeight="1">
      <c r="A27" s="27" t="inlineStr">
        <is>
          <t>KS-AC-02</t>
        </is>
      </c>
      <c r="B27" s="27" t="inlineStr">
        <is>
          <t>Retire outdated policy, invalidation và stale alerts</t>
        </is>
      </c>
      <c r="C27" s="27" t="inlineStr">
        <is>
          <t>SRC-02 §3.4–3.5; SRC-05 §3–4 (ID PM/KS do kế hoạch đặt)</t>
        </is>
      </c>
      <c r="D27" s="27" t="inlineStr">
        <is>
          <t>M1.3,M6.6,M6.7</t>
        </is>
      </c>
      <c r="E27" s="27" t="inlineStr">
        <is>
          <t>MOD-06,MOD-08</t>
        </is>
      </c>
      <c r="F27" s="27" t="inlineStr">
        <is>
          <t>IO-04,IO-15</t>
        </is>
      </c>
      <c r="G27" s="27" t="inlineStr">
        <is>
          <t>G6</t>
        </is>
      </c>
      <c r="H27" s="27" t="inlineStr">
        <is>
          <t>Core demo</t>
        </is>
      </c>
      <c r="I27" s="27" t="inlineStr">
        <is>
          <t>Test/eval report + UI/API demo + audit/manifest</t>
        </is>
      </c>
      <c r="J27" s="27" t="inlineStr">
        <is>
          <t>PLANNED — chưa nghiệm thu</t>
        </is>
      </c>
    </row>
    <row r="28" ht="45.75" customHeight="1">
      <c r="A28" s="29" t="inlineStr">
        <is>
          <t>KS-AC-03</t>
        </is>
      </c>
      <c r="B28" s="29" t="inlineStr">
        <is>
          <t>Resolve conflicting causes/annotations</t>
        </is>
      </c>
      <c r="C28" s="29" t="inlineStr">
        <is>
          <t>SRC-02 §3.4–3.5; SRC-05 §3–4 (ID PM/KS do kế hoạch đặt)</t>
        </is>
      </c>
      <c r="D28" s="29" t="inlineStr">
        <is>
          <t>M6.6,M7.1</t>
        </is>
      </c>
      <c r="E28" s="29" t="inlineStr">
        <is>
          <t>MOD-08,MOD-11</t>
        </is>
      </c>
      <c r="F28" s="29" t="inlineStr">
        <is>
          <t>IO-13</t>
        </is>
      </c>
      <c r="G28" s="29" t="inlineStr">
        <is>
          <t>G6,G7</t>
        </is>
      </c>
      <c r="H28" s="29" t="inlineStr">
        <is>
          <t>Core demo</t>
        </is>
      </c>
      <c r="I28" s="29" t="inlineStr">
        <is>
          <t>Test/eval report + UI/API demo + audit/manifest</t>
        </is>
      </c>
      <c r="J28" s="29" t="inlineStr">
        <is>
          <t>PLANNED — chưa nghiệm thu</t>
        </is>
      </c>
    </row>
    <row r="29" ht="45.75" customHeight="1">
      <c r="A29" s="27" t="inlineStr">
        <is>
          <t>KS-AC-04</t>
        </is>
      </c>
      <c r="B29" s="27" t="inlineStr">
        <is>
          <t>Publish knowledge version và rollback</t>
        </is>
      </c>
      <c r="C29" s="27" t="inlineStr">
        <is>
          <t>SRC-02 §3.4–3.5; SRC-05 §3–4 (ID PM/KS do kế hoạch đặt)</t>
        </is>
      </c>
      <c r="D29" s="27" t="inlineStr">
        <is>
          <t>M6.7,M8.5</t>
        </is>
      </c>
      <c r="E29" s="27" t="inlineStr">
        <is>
          <t>MOD-08,MOD-12</t>
        </is>
      </c>
      <c r="F29" s="27" t="inlineStr">
        <is>
          <t>IO-15</t>
        </is>
      </c>
      <c r="G29" s="27" t="inlineStr">
        <is>
          <t>G6,G8</t>
        </is>
      </c>
      <c r="H29" s="27" t="inlineStr">
        <is>
          <t>Core demo</t>
        </is>
      </c>
      <c r="I29" s="27" t="inlineStr">
        <is>
          <t>Test/eval report + UI/API demo + audit/manifest</t>
        </is>
      </c>
      <c r="J29" s="27" t="inlineStr">
        <is>
          <t>PLANNED — chưa nghiệm thu</t>
        </is>
      </c>
    </row>
    <row r="30" ht="45.75" customHeight="1">
      <c r="A30" s="29" t="inlineStr">
        <is>
          <t>KS-AC-05</t>
        </is>
      </c>
      <c r="B30" s="29" t="inlineStr">
        <is>
          <t>Retention/deletion/access policy có owner</t>
        </is>
      </c>
      <c r="C30" s="29" t="inlineStr">
        <is>
          <t>SRC-02 §3.4–3.5; SRC-05 §3–4 (ID PM/KS do kế hoạch đặt)</t>
        </is>
      </c>
      <c r="D30" s="29" t="inlineStr">
        <is>
          <t>M0.3,M7.4,M8.5</t>
        </is>
      </c>
      <c r="E30" s="29" t="inlineStr">
        <is>
          <t>MOD-12</t>
        </is>
      </c>
      <c r="F30" s="29" t="inlineStr">
        <is>
          <t>IO-13,IO-15</t>
        </is>
      </c>
      <c r="G30" s="29" t="inlineStr">
        <is>
          <t>G7,G8</t>
        </is>
      </c>
      <c r="H30" s="29" t="inlineStr">
        <is>
          <t>Core demo</t>
        </is>
      </c>
      <c r="I30" s="29" t="inlineStr">
        <is>
          <t>Test/eval report + UI/API demo + audit/manifest</t>
        </is>
      </c>
      <c r="J30" s="29" t="inlineStr">
        <is>
          <t>PLANNED — chưa nghiệm thu</t>
        </is>
      </c>
    </row>
    <row r="31" ht="45.75" customHeight="1">
      <c r="A31" s="27" t="inlineStr">
        <is>
          <t>KS-AC-06</t>
        </is>
      </c>
      <c r="B31" s="27" t="inlineStr">
        <is>
          <t>Audit lineage từ ticket đến model/policy/graph/human approval</t>
        </is>
      </c>
      <c r="C31" s="27" t="inlineStr">
        <is>
          <t>SRC-02 §3.4–3.5; SRC-05 §3–4 (ID PM/KS do kế hoạch đặt)</t>
        </is>
      </c>
      <c r="D31" s="27" t="inlineStr">
        <is>
          <t>M3.6,M6.7,M8.1</t>
        </is>
      </c>
      <c r="E31" s="27" t="inlineStr">
        <is>
          <t>MOD-12</t>
        </is>
      </c>
      <c r="F31" s="27" t="inlineStr">
        <is>
          <t>IO-15</t>
        </is>
      </c>
      <c r="G31" s="27" t="inlineStr">
        <is>
          <t>G3,G6,G8</t>
        </is>
      </c>
      <c r="H31" s="27" t="inlineStr">
        <is>
          <t>Core demo</t>
        </is>
      </c>
      <c r="I31" s="27" t="inlineStr">
        <is>
          <t>Test/eval report + UI/API demo + audit/manifest</t>
        </is>
      </c>
      <c r="J31" s="27" t="inlineStr">
        <is>
          <t>PLANNED — chưa nghiệm thu</t>
        </is>
      </c>
    </row>
    <row r="32" ht="35.25" customHeight="1">
      <c r="A32" s="29" t="inlineStr">
        <is>
          <t>US-BUY-01</t>
        </is>
      </c>
      <c r="B32" s="29" t="inlineStr">
        <is>
          <t>Buyer complaint→verified order/policy→evidence→action→outcome</t>
        </is>
      </c>
      <c r="C32" s="29" t="inlineStr">
        <is>
          <t>SRC-03; SRC-05 §3; SRC-02 §3</t>
        </is>
      </c>
      <c r="D32" s="29" t="inlineStr">
        <is>
          <t>M2.8,M3.7,M4.7,M6.8,M8.6</t>
        </is>
      </c>
      <c r="E32" s="29" t="inlineStr">
        <is>
          <t>MOD-01,MOD-03,MOD-05,MOD-06,MOD-07,MOD-08</t>
        </is>
      </c>
      <c r="F32" s="29" t="inlineStr">
        <is>
          <t>IO-01,IO-08,IO-09</t>
        </is>
      </c>
      <c r="G32" s="29" t="inlineStr">
        <is>
          <t>G8</t>
        </is>
      </c>
      <c r="H32" s="29" t="inlineStr">
        <is>
          <t>Core demo</t>
        </is>
      </c>
      <c r="I32" s="29" t="inlineStr">
        <is>
          <t>Test/eval report + UI/API demo + audit/manifest</t>
        </is>
      </c>
      <c r="J32" s="29" t="inlineStr">
        <is>
          <t>PLANNED — chưa nghiệm thu</t>
        </is>
      </c>
    </row>
    <row r="33" ht="35.25" customHeight="1">
      <c r="A33" s="27" t="inlineStr">
        <is>
          <t>US-AGENT-01</t>
        </is>
      </c>
      <c r="B33" s="27" t="inlineStr">
        <is>
          <t>Pre-triaged card, grounded draft, evidence, review/correction/escalation</t>
        </is>
      </c>
      <c r="C33" s="27" t="inlineStr">
        <is>
          <t>SRC-03; SRC-05 §3; SRC-02 §3</t>
        </is>
      </c>
      <c r="D33" s="27" t="inlineStr">
        <is>
          <t>M3.5,M4.7,M6.8,M7.5,M8.6</t>
        </is>
      </c>
      <c r="E33" s="27" t="inlineStr">
        <is>
          <t>MOD-07,MOD-11</t>
        </is>
      </c>
      <c r="F33" s="27" t="inlineStr">
        <is>
          <t>IO-08,IO-09,IO-13</t>
        </is>
      </c>
      <c r="G33" s="27" t="inlineStr">
        <is>
          <t>G8</t>
        </is>
      </c>
      <c r="H33" s="27" t="inlineStr">
        <is>
          <t>Core demo</t>
        </is>
      </c>
      <c r="I33" s="27" t="inlineStr">
        <is>
          <t>Test/eval report + UI/API demo + audit/manifest</t>
        </is>
      </c>
      <c r="J33" s="27" t="inlineStr">
        <is>
          <t>PLANNED — chưa nghiệm thu</t>
        </is>
      </c>
    </row>
    <row r="34" ht="35.25" customHeight="1">
      <c r="A34" s="29" t="inlineStr">
        <is>
          <t>US-ANALYST-01</t>
        </is>
      </c>
      <c r="B34" s="29" t="inlineStr">
        <is>
          <t>Quant→filtered diverse evidence→hypothesis→approved knowledge→support reuse</t>
        </is>
      </c>
      <c r="C34" s="29" t="inlineStr">
        <is>
          <t>SRC-03; SRC-05 §3; SRC-02 §3</t>
        </is>
      </c>
      <c r="D34" s="29" t="inlineStr">
        <is>
          <t>M5.4,M6.8,M7.5,M8.6</t>
        </is>
      </c>
      <c r="E34" s="29" t="inlineStr">
        <is>
          <t>MOD-04,MOD-08,MOD-09,MOD-10,MOD-11</t>
        </is>
      </c>
      <c r="F34" s="29" t="inlineStr">
        <is>
          <t>IO-11,IO-12,IO-13</t>
        </is>
      </c>
      <c r="G34" s="29" t="inlineStr">
        <is>
          <t>G8</t>
        </is>
      </c>
      <c r="H34" s="29" t="inlineStr">
        <is>
          <t>Core demo</t>
        </is>
      </c>
      <c r="I34" s="29" t="inlineStr">
        <is>
          <t>Test/eval report + UI/API demo + audit/manifest</t>
        </is>
      </c>
      <c r="J34" s="29" t="inlineStr">
        <is>
          <t>PLANNED — chưa nghiệm thu</t>
        </is>
      </c>
    </row>
    <row r="35" ht="45.75" customHeight="1">
      <c r="A35" s="27" t="inlineStr">
        <is>
          <t>US-PM-01</t>
        </is>
      </c>
      <c r="B35" s="27" t="inlineStr">
        <is>
          <t>SKU/version defect trends, cause state, ownership và resolution effectiveness</t>
        </is>
      </c>
      <c r="C35" s="27" t="inlineStr">
        <is>
          <t>SRC-03; SRC-05 §3; SRC-02 §3</t>
        </is>
      </c>
      <c r="D35" s="27" t="inlineStr">
        <is>
          <t>M5.2,M6.5,M8.6,M8.7</t>
        </is>
      </c>
      <c r="E35" s="27" t="inlineStr">
        <is>
          <t>MOD-08,MOD-09,MOD-10</t>
        </is>
      </c>
      <c r="F35" s="27" t="inlineStr">
        <is>
          <t>IO-09,IO-11,IO-12</t>
        </is>
      </c>
      <c r="G35" s="27" t="inlineStr">
        <is>
          <t>G8</t>
        </is>
      </c>
      <c r="H35" s="27" t="inlineStr">
        <is>
          <t>Core demo</t>
        </is>
      </c>
      <c r="I35" s="27" t="inlineStr">
        <is>
          <t>Test/eval report + UI/API demo + audit/manifest</t>
        </is>
      </c>
      <c r="J35" s="27" t="inlineStr">
        <is>
          <t>PLANNED — chưa nghiệm thu</t>
        </is>
      </c>
    </row>
    <row r="36" ht="35.25" customHeight="1">
      <c r="A36" s="29" t="inlineStr">
        <is>
          <t>US-STEWARD-01</t>
        </is>
      </c>
      <c r="B36" s="29" t="inlineStr">
        <is>
          <t>Governed graph/policy changes, versions, conflict, access/retention và audit</t>
        </is>
      </c>
      <c r="C36" s="29" t="inlineStr">
        <is>
          <t>SRC-03; SRC-05 §3; SRC-02 §3</t>
        </is>
      </c>
      <c r="D36" s="29" t="inlineStr">
        <is>
          <t>M6.6,M6.7,M7.4,M8.6</t>
        </is>
      </c>
      <c r="E36" s="29" t="inlineStr">
        <is>
          <t>MOD-06,MOD-08,MOD-11,MOD-12</t>
        </is>
      </c>
      <c r="F36" s="29" t="inlineStr">
        <is>
          <t>IO-13,IO-15</t>
        </is>
      </c>
      <c r="G36" s="29" t="inlineStr">
        <is>
          <t>G8</t>
        </is>
      </c>
      <c r="H36" s="29" t="inlineStr">
        <is>
          <t>Core demo</t>
        </is>
      </c>
      <c r="I36" s="29" t="inlineStr">
        <is>
          <t>Test/eval report + UI/API demo + audit/manifest</t>
        </is>
      </c>
      <c r="J36" s="29" t="inlineStr">
        <is>
          <t>PLANNED — chưa nghiệm thu</t>
        </is>
      </c>
    </row>
    <row r="37" ht="35.25" customHeight="1">
      <c r="A37" s="27" t="inlineStr">
        <is>
          <t>ARCH-L1</t>
        </is>
      </c>
      <c r="B37" s="27" t="inlineStr">
        <is>
          <t>Gateway: parse/PII/rate limit/semantic routing</t>
        </is>
      </c>
      <c r="C37" s="27" t="inlineStr">
        <is>
          <t>SRC-02 §5–22; SRC-05; SRC-06; SRC-07; SRC-09</t>
        </is>
      </c>
      <c r="D37" s="27" t="inlineStr">
        <is>
          <t>M1.2,M1.3,M2.4,M2.5,M4.5,M4.6</t>
        </is>
      </c>
      <c r="E37" s="27" t="inlineStr">
        <is>
          <t>MOD-02,MOD-12</t>
        </is>
      </c>
      <c r="F37" s="27" t="inlineStr">
        <is>
          <t>IO-01,IO-02,IO-03</t>
        </is>
      </c>
      <c r="G37" s="27" t="inlineStr">
        <is>
          <t>G2,G4</t>
        </is>
      </c>
      <c r="H37" s="27" t="inlineStr">
        <is>
          <t>Core demo</t>
        </is>
      </c>
      <c r="I37" s="27" t="inlineStr">
        <is>
          <t>Test/eval report + UI/API demo + audit/manifest</t>
        </is>
      </c>
      <c r="J37" s="27" t="inlineStr">
        <is>
          <t>PLANNED — chưa nghiệm thu</t>
        </is>
      </c>
    </row>
    <row r="38" ht="35.25" customHeight="1">
      <c r="A38" s="29" t="inlineStr">
        <is>
          <t>ARCH-L2</t>
        </is>
      </c>
      <c r="B38" s="29" t="inlineStr">
        <is>
          <t>Planning/FSM/bounded reflection và handoff</t>
        </is>
      </c>
      <c r="C38" s="29" t="inlineStr">
        <is>
          <t>SRC-02 §5–22; SRC-05; SRC-06; SRC-07; SRC-09</t>
        </is>
      </c>
      <c r="D38" s="29" t="inlineStr">
        <is>
          <t>M3.4,M3.7</t>
        </is>
      </c>
      <c r="E38" s="29" t="inlineStr">
        <is>
          <t>MOD-01,MOD-06</t>
        </is>
      </c>
      <c r="F38" s="29" t="inlineStr">
        <is>
          <t>IO-08</t>
        </is>
      </c>
      <c r="G38" s="29" t="inlineStr">
        <is>
          <t>G3</t>
        </is>
      </c>
      <c r="H38" s="29" t="inlineStr">
        <is>
          <t>Core demo</t>
        </is>
      </c>
      <c r="I38" s="29" t="inlineStr">
        <is>
          <t>Test/eval report + UI/API demo + audit/manifest</t>
        </is>
      </c>
      <c r="J38" s="29" t="inlineStr">
        <is>
          <t>PLANNED — chưa nghiệm thu</t>
        </is>
      </c>
    </row>
    <row r="39" ht="35.25" customHeight="1">
      <c r="A39" s="27" t="inlineStr">
        <is>
          <t>ARCH-L3</t>
        </is>
      </c>
      <c r="B39" s="27" t="inlineStr">
        <is>
          <t>Working context; sliding buffer; episodic recall; semantic/procedural memory</t>
        </is>
      </c>
      <c r="C39" s="27" t="inlineStr">
        <is>
          <t>SRC-02 §5–22; SRC-05; SRC-06; SRC-07; SRC-09</t>
        </is>
      </c>
      <c r="D39" s="27" t="inlineStr">
        <is>
          <t>M0.3,M2.5,M3.2,M3.3,M6.3</t>
        </is>
      </c>
      <c r="E39" s="27" t="inlineStr">
        <is>
          <t>MOD-01,MOD-05,MOD-06,MOD-08</t>
        </is>
      </c>
      <c r="F39" s="27" t="inlineStr">
        <is>
          <t>IO-01,IO-06,IO-07</t>
        </is>
      </c>
      <c r="G39" s="27" t="inlineStr">
        <is>
          <t>G3,G6</t>
        </is>
      </c>
      <c r="H39" s="27" t="inlineStr">
        <is>
          <t>Core demo</t>
        </is>
      </c>
      <c r="I39" s="27" t="inlineStr">
        <is>
          <t>Test/eval report + UI/API demo + audit/manifest</t>
        </is>
      </c>
      <c r="J39" s="27" t="inlineStr">
        <is>
          <t>PLANNED — chưa nghiệm thu</t>
        </is>
      </c>
    </row>
    <row r="40" ht="35.25" customHeight="1">
      <c r="A40" s="29" t="inlineStr">
        <is>
          <t>ARCH-L4</t>
        </is>
      </c>
      <c r="B40" s="29" t="inlineStr">
        <is>
          <t>Dense/BM25/RRF/BGE + metadata + operational GraphRAG</t>
        </is>
      </c>
      <c r="C40" s="29" t="inlineStr">
        <is>
          <t>SRC-02 §5–22; SRC-05; SRC-06; SRC-07; SRC-09</t>
        </is>
      </c>
      <c r="D40" s="29" t="inlineStr">
        <is>
          <t>M2.1,M2.2,M2.3,M5.3,M6.3</t>
        </is>
      </c>
      <c r="E40" s="29" t="inlineStr">
        <is>
          <t>MOD-04,MOD-08</t>
        </is>
      </c>
      <c r="F40" s="29" t="inlineStr">
        <is>
          <t>IO-05,IO-12</t>
        </is>
      </c>
      <c r="G40" s="29" t="inlineStr">
        <is>
          <t>G2,G6</t>
        </is>
      </c>
      <c r="H40" s="29" t="inlineStr">
        <is>
          <t>Core demo</t>
        </is>
      </c>
      <c r="I40" s="29" t="inlineStr">
        <is>
          <t>Test/eval report + UI/API demo + audit/manifest</t>
        </is>
      </c>
      <c r="J40" s="29" t="inlineStr">
        <is>
          <t>PLANNED — chưa nghiệm thu</t>
        </is>
      </c>
    </row>
    <row r="41" ht="35.25" customHeight="1">
      <c r="A41" s="27" t="inlineStr">
        <is>
          <t>ARCH-L5</t>
        </is>
      </c>
      <c r="B41" s="27" t="inlineStr">
        <is>
          <t>Typed/function tools/MCP; authorized actions và task isolation</t>
        </is>
      </c>
      <c r="C41" s="27" t="inlineStr">
        <is>
          <t>SRC-02 §5–22; SRC-05; SRC-06; SRC-07; SRC-09</t>
        </is>
      </c>
      <c r="D41" s="27" t="inlineStr">
        <is>
          <t>M3.4,M3.8</t>
        </is>
      </c>
      <c r="E41" s="27" t="inlineStr">
        <is>
          <t>MOD-05,MOD-06,MOD-12</t>
        </is>
      </c>
      <c r="F41" s="27" t="inlineStr">
        <is>
          <t>IO-06,IO-07,IO-08</t>
        </is>
      </c>
      <c r="G41" s="27" t="inlineStr">
        <is>
          <t>G3</t>
        </is>
      </c>
      <c r="H41" s="27" t="inlineStr">
        <is>
          <t>Core demo</t>
        </is>
      </c>
      <c r="I41" s="27" t="inlineStr">
        <is>
          <t>Test/eval report + UI/API demo + audit/manifest</t>
        </is>
      </c>
      <c r="J41" s="27" t="inlineStr">
        <is>
          <t>PLANNED — chưa nghiệm thu</t>
        </is>
      </c>
    </row>
    <row r="42" ht="35.25" customHeight="1">
      <c r="A42" s="29" t="inlineStr">
        <is>
          <t>ARCH-L6</t>
        </is>
      </c>
      <c r="B42" s="29" t="inlineStr">
        <is>
          <t>Claim/citation/schema/policy guard + output PII + abstention</t>
        </is>
      </c>
      <c r="C42" s="29" t="inlineStr">
        <is>
          <t>SRC-02 §5–22; SRC-05; SRC-06; SRC-07; SRC-09</t>
        </is>
      </c>
      <c r="D42" s="29" t="inlineStr">
        <is>
          <t>M2.4,M2.8,M3.7,M6.4,M8.5</t>
        </is>
      </c>
      <c r="E42" s="29" t="inlineStr">
        <is>
          <t>MOD-03,MOD-06</t>
        </is>
      </c>
      <c r="F42" s="29" t="inlineStr">
        <is>
          <t>IO-02,IO-08</t>
        </is>
      </c>
      <c r="G42" s="29" t="inlineStr">
        <is>
          <t>G2,G3,G8</t>
        </is>
      </c>
      <c r="H42" s="29" t="inlineStr">
        <is>
          <t>Core demo</t>
        </is>
      </c>
      <c r="I42" s="29" t="inlineStr">
        <is>
          <t>Test/eval report + UI/API demo + audit/manifest</t>
        </is>
      </c>
      <c r="J42" s="29" t="inlineStr">
        <is>
          <t>PLANNED — chưa nghiệm thu</t>
        </is>
      </c>
    </row>
    <row r="43" ht="35.25" customHeight="1">
      <c r="A43" s="27" t="inlineStr">
        <is>
          <t>ARCH-L7</t>
        </is>
      </c>
      <c r="B43" s="27" t="inlineStr">
        <is>
          <t>OTel traces, tokens/cost, model/data drift và operational metrics</t>
        </is>
      </c>
      <c r="C43" s="27" t="inlineStr">
        <is>
          <t>SRC-02 §5–22; SRC-05; SRC-06; SRC-07; SRC-09</t>
        </is>
      </c>
      <c r="D43" s="27" t="inlineStr">
        <is>
          <t>M2.7,M7.3,M8.3</t>
        </is>
      </c>
      <c r="E43" s="27" t="inlineStr">
        <is>
          <t>MOD-09,MOD-12</t>
        </is>
      </c>
      <c r="F43" s="27" t="inlineStr">
        <is>
          <t>IO-15</t>
        </is>
      </c>
      <c r="G43" s="27" t="inlineStr">
        <is>
          <t>G2,G7,G8</t>
        </is>
      </c>
      <c r="H43" s="27" t="inlineStr">
        <is>
          <t>Core demo</t>
        </is>
      </c>
      <c r="I43" s="27" t="inlineStr">
        <is>
          <t>Test/eval report + UI/API demo + audit/manifest</t>
        </is>
      </c>
      <c r="J43" s="27" t="inlineStr">
        <is>
          <t>PLANNED — chưa nghiệm thu</t>
        </is>
      </c>
    </row>
    <row r="44" ht="35.25" customHeight="1">
      <c r="A44" s="29" t="inlineStr">
        <is>
          <t>ARCH-PIPE-A</t>
        </is>
      </c>
      <c r="B44" s="29" t="inlineStr">
        <is>
          <t>Ingest→outbox/queue→mask→ABSA toàn corpus→SQL→BI; replay/ack idempotent</t>
        </is>
      </c>
      <c r="C44" s="29" t="inlineStr">
        <is>
          <t>SRC-02 §5–22; SRC-05; SRC-06; SRC-07; SRC-09</t>
        </is>
      </c>
      <c r="D44" s="29" t="inlineStr">
        <is>
          <t>M4.5,M5.1</t>
        </is>
      </c>
      <c r="E44" s="29" t="inlineStr">
        <is>
          <t>MOD-02,MOD-07,MOD-09</t>
        </is>
      </c>
      <c r="F44" s="29" t="inlineStr">
        <is>
          <t>IO-03,IO-10,IO-11</t>
        </is>
      </c>
      <c r="G44" s="29" t="inlineStr">
        <is>
          <t>G5</t>
        </is>
      </c>
      <c r="H44" s="29" t="inlineStr">
        <is>
          <t>Core demo</t>
        </is>
      </c>
      <c r="I44" s="29" t="inlineStr">
        <is>
          <t>Test/eval report + UI/API demo + audit/manifest</t>
        </is>
      </c>
      <c r="J44" s="29" t="inlineStr">
        <is>
          <t>PLANNED — chưa nghiệm thu</t>
        </is>
      </c>
    </row>
    <row r="45" ht="35.25" customHeight="1">
      <c r="A45" s="27" t="inlineStr">
        <is>
          <t>ARCH-PIPE-B</t>
        </is>
      </c>
      <c r="B45" s="27" t="inlineStr">
        <is>
          <t>Query→filters→evidence→graph/policy→generation→guardrails</t>
        </is>
      </c>
      <c r="C45" s="27" t="inlineStr">
        <is>
          <t>SRC-02 §5–22; SRC-05; SRC-06; SRC-07; SRC-09</t>
        </is>
      </c>
      <c r="D45" s="27" t="inlineStr">
        <is>
          <t>M2.8,M3.4,M6.4</t>
        </is>
      </c>
      <c r="E45" s="27" t="inlineStr">
        <is>
          <t>MOD-01,MOD-03,MOD-04,MOD-06,MOD-08</t>
        </is>
      </c>
      <c r="F45" s="27" t="inlineStr">
        <is>
          <t>IO-01,IO-05,IO-08</t>
        </is>
      </c>
      <c r="G45" s="27" t="inlineStr">
        <is>
          <t>G6</t>
        </is>
      </c>
      <c r="H45" s="27" t="inlineStr">
        <is>
          <t>Core demo</t>
        </is>
      </c>
      <c r="I45" s="27" t="inlineStr">
        <is>
          <t>Test/eval report + UI/API demo + audit/manifest</t>
        </is>
      </c>
      <c r="J45" s="27" t="inlineStr">
        <is>
          <t>PLANNED — chưa nghiệm thu</t>
        </is>
      </c>
    </row>
    <row r="46" ht="45.75" customHeight="1">
      <c r="A46" s="29" t="inlineStr">
        <is>
          <t>ARCH-BOUNDARY</t>
        </is>
      </c>
      <c r="B46" s="29" t="inlineStr">
        <is>
          <t>ABSA != retrieval; Top-K != statistics; GraphRAG operational; policy deterministic</t>
        </is>
      </c>
      <c r="C46" s="29" t="inlineStr">
        <is>
          <t>SRC-02 §5–22; SRC-05; SRC-06; SRC-07; SRC-09</t>
        </is>
      </c>
      <c r="D46" s="29" t="inlineStr">
        <is>
          <t>M0.3,M3.3,M4.5,M5.4,M6.1</t>
        </is>
      </c>
      <c r="E46" s="29" t="inlineStr">
        <is>
          <t>MOD-04,MOD-06,MOD-07,MOD-08,MOD-09</t>
        </is>
      </c>
      <c r="F46" s="29" t="inlineStr">
        <is>
          <t>IO-07,IO-10,IO-11</t>
        </is>
      </c>
      <c r="G46" s="29" t="inlineStr">
        <is>
          <t>G6</t>
        </is>
      </c>
      <c r="H46" s="29" t="inlineStr">
        <is>
          <t>Core demo</t>
        </is>
      </c>
      <c r="I46" s="29" t="inlineStr">
        <is>
          <t>Test/eval report + UI/API demo + audit/manifest</t>
        </is>
      </c>
      <c r="J46" s="29" t="inlineStr">
        <is>
          <t>PLANNED — chưa nghiệm thu</t>
        </is>
      </c>
    </row>
    <row r="47" ht="45.75" customHeight="1">
      <c r="A47" s="27" t="inlineStr">
        <is>
          <t>API-CONTRACTS</t>
        </is>
      </c>
      <c r="B47" s="27" t="inlineStr">
        <is>
          <t>Canonical /api/v1 ingest/investigation/resolution/feedback plus chat/ABSA/retrieval</t>
        </is>
      </c>
      <c r="C47" s="27" t="inlineStr">
        <is>
          <t>SRC-02 §5–22; SRC-05; SRC-06; SRC-07; SRC-09</t>
        </is>
      </c>
      <c r="D47" s="27" t="inlineStr">
        <is>
          <t>M0.3,M2.5,M3.4,M4.5,M4.6,M5.3,M7.1</t>
        </is>
      </c>
      <c r="E47" s="27" t="inlineStr">
        <is>
          <t>MOD-12</t>
        </is>
      </c>
      <c r="F47" s="27" t="inlineStr">
        <is>
          <t>IO-01,IO-03,IO-08,IO-10,IO-12,IO-13</t>
        </is>
      </c>
      <c r="G47" s="27" t="inlineStr">
        <is>
          <t>G8</t>
        </is>
      </c>
      <c r="H47" s="27" t="inlineStr">
        <is>
          <t>Core demo</t>
        </is>
      </c>
      <c r="I47" s="27" t="inlineStr">
        <is>
          <t>Test/eval report + UI/API demo + audit/manifest</t>
        </is>
      </c>
      <c r="J47" s="27" t="inlineStr">
        <is>
          <t>PLANNED — chưa nghiệm thu</t>
        </is>
      </c>
    </row>
    <row r="48" ht="45.75" customHeight="1">
      <c r="A48" s="29" t="inlineStr">
        <is>
          <t>DATA-SOT</t>
        </is>
      </c>
      <c r="B48" s="29" t="inlineStr">
        <is>
          <t>CRM/raw events/predictions/policy/graph/final response/outcome source-of-truth boundaries</t>
        </is>
      </c>
      <c r="C48" s="29" t="inlineStr">
        <is>
          <t>SRC-02 §5–22; SRC-05; SRC-06; SRC-07; SRC-09</t>
        </is>
      </c>
      <c r="D48" s="29" t="inlineStr">
        <is>
          <t>M0.3,M1.1,M3.1,M3.6,M4.5,M6.7</t>
        </is>
      </c>
      <c r="E48" s="29" t="inlineStr">
        <is>
          <t>MOD-02,MOD-05,MOD-06,MOD-08</t>
        </is>
      </c>
      <c r="F48" s="29" t="inlineStr">
        <is>
          <t>IO-03,IO-04,IO-09,IO-15</t>
        </is>
      </c>
      <c r="G48" s="29" t="inlineStr">
        <is>
          <t>G6</t>
        </is>
      </c>
      <c r="H48" s="29" t="inlineStr">
        <is>
          <t>Core demo</t>
        </is>
      </c>
      <c r="I48" s="29" t="inlineStr">
        <is>
          <t>Test/eval report + UI/API demo + audit/manifest</t>
        </is>
      </c>
      <c r="J48" s="29" t="inlineStr">
        <is>
          <t>PLANNED — chưa nghiệm thu</t>
        </is>
      </c>
    </row>
    <row r="49" ht="45.75" customHeight="1">
      <c r="A49" s="27" t="inlineStr">
        <is>
          <t>DATA-QUALITY</t>
        </is>
      </c>
      <c r="B49" s="27" t="inlineStr">
        <is>
          <t>Duplicate/missing/spam/language/date/schema/source checks; no hidden rejection</t>
        </is>
      </c>
      <c r="C49" s="27" t="inlineStr">
        <is>
          <t>SRC-02 §5–22; SRC-05; SRC-06; SRC-07; SRC-09</t>
        </is>
      </c>
      <c r="D49" s="27" t="inlineStr">
        <is>
          <t>M1.2,M4.5,M4.6</t>
        </is>
      </c>
      <c r="E49" s="27" t="inlineStr">
        <is>
          <t>MOD-02</t>
        </is>
      </c>
      <c r="F49" s="27" t="inlineStr">
        <is>
          <t>IO-03</t>
        </is>
      </c>
      <c r="G49" s="27" t="inlineStr">
        <is>
          <t>G4</t>
        </is>
      </c>
      <c r="H49" s="27" t="inlineStr">
        <is>
          <t>Core demo</t>
        </is>
      </c>
      <c r="I49" s="27" t="inlineStr">
        <is>
          <t>Test/eval report + UI/API demo + audit/manifest</t>
        </is>
      </c>
      <c r="J49" s="27" t="inlineStr">
        <is>
          <t>PLANNED — chưa nghiệm thu</t>
        </is>
      </c>
    </row>
    <row r="50" ht="45.75" customHeight="1">
      <c r="A50" s="29" t="inlineStr">
        <is>
          <t>DATA-PRIVACY</t>
        </is>
      </c>
      <c r="B50" s="29" t="inlineStr">
        <is>
          <t>Masked vector/prompt/log; resolution access tách analytics; cross-customer filters</t>
        </is>
      </c>
      <c r="C50" s="29" t="inlineStr">
        <is>
          <t>SRC-02 §5–22; SRC-05; SRC-06; SRC-07; SRC-09</t>
        </is>
      </c>
      <c r="D50" s="29" t="inlineStr">
        <is>
          <t>M1.3,M2.5,M3.2,M8.5</t>
        </is>
      </c>
      <c r="E50" s="29" t="inlineStr">
        <is>
          <t>MOD-02,MOD-05,MOD-12</t>
        </is>
      </c>
      <c r="F50" s="29" t="inlineStr">
        <is>
          <t>IO-01,IO-06,IO-15</t>
        </is>
      </c>
      <c r="G50" s="29" t="inlineStr">
        <is>
          <t>G8</t>
        </is>
      </c>
      <c r="H50" s="29" t="inlineStr">
        <is>
          <t>Core demo</t>
        </is>
      </c>
      <c r="I50" s="29" t="inlineStr">
        <is>
          <t>Test/eval report + UI/API demo + audit/manifest</t>
        </is>
      </c>
      <c r="J50" s="29" t="inlineStr">
        <is>
          <t>PLANNED — chưa nghiệm thu</t>
        </is>
      </c>
    </row>
    <row r="51" ht="45.75" customHeight="1">
      <c r="A51" s="27" t="inlineStr">
        <is>
          <t>FEEDBACK-TYPES</t>
        </is>
      </c>
      <c r="B51" s="27" t="inlineStr">
        <is>
          <t>ABSA/retrieval/cause/policy-stale/resolution-outcome/draft/new-issue/duplicate feedback</t>
        </is>
      </c>
      <c r="C51" s="27" t="inlineStr">
        <is>
          <t>SRC-02 §5–22; SRC-05; SRC-06; SRC-07; SRC-09</t>
        </is>
      </c>
      <c r="D51" s="27" t="inlineStr">
        <is>
          <t>M3.5,M6.5,M6.6,M7.1</t>
        </is>
      </c>
      <c r="E51" s="27" t="inlineStr">
        <is>
          <t>MOD-11</t>
        </is>
      </c>
      <c r="F51" s="27" t="inlineStr">
        <is>
          <t>IO-13</t>
        </is>
      </c>
      <c r="G51" s="27" t="inlineStr">
        <is>
          <t>G7</t>
        </is>
      </c>
      <c r="H51" s="27" t="inlineStr">
        <is>
          <t>Core demo</t>
        </is>
      </c>
      <c r="I51" s="27" t="inlineStr">
        <is>
          <t>Test/eval report + UI/API demo + audit/manifest</t>
        </is>
      </c>
      <c r="J51" s="27" t="inlineStr">
        <is>
          <t>PLANNED — chưa nghiệm thu</t>
        </is>
      </c>
    </row>
    <row r="52" ht="35.25" customHeight="1">
      <c r="A52" s="29" t="inlineStr">
        <is>
          <t>GOVERNANCE</t>
        </is>
      </c>
      <c r="B52" s="29" t="inlineStr">
        <is>
          <t>Data ownership/license, review, retention/deletion, access and audit lineage</t>
        </is>
      </c>
      <c r="C52" s="29" t="inlineStr">
        <is>
          <t>SRC-02 §5–22; SRC-05; SRC-06; SRC-07; SRC-09</t>
        </is>
      </c>
      <c r="D52" s="29" t="inlineStr">
        <is>
          <t>M0.1,M4.1,M6.6,M7.4,M8.5</t>
        </is>
      </c>
      <c r="E52" s="29" t="inlineStr">
        <is>
          <t>MOD-12</t>
        </is>
      </c>
      <c r="F52" s="29" t="inlineStr">
        <is>
          <t>IO-13,IO-15</t>
        </is>
      </c>
      <c r="G52" s="29" t="inlineStr">
        <is>
          <t>G8</t>
        </is>
      </c>
      <c r="H52" s="29" t="inlineStr">
        <is>
          <t>Core demo</t>
        </is>
      </c>
      <c r="I52" s="29" t="inlineStr">
        <is>
          <t>Test/eval report + UI/API demo + audit/manifest</t>
        </is>
      </c>
      <c r="J52" s="29" t="inlineStr">
        <is>
          <t>PLANNED — chưa nghiệm thu</t>
        </is>
      </c>
    </row>
    <row r="53" ht="45.75" customHeight="1">
      <c r="A53" s="27" t="inlineStr">
        <is>
          <t>OPS-RELEASE</t>
        </is>
      </c>
      <c r="B53" s="27" t="inlineStr">
        <is>
          <t>Build once; digest; staging→prod same artifact; independent model/app/knowledge rollback</t>
        </is>
      </c>
      <c r="C53" s="27" t="inlineStr">
        <is>
          <t>SRC-02 §5–22; SRC-05; SRC-06; SRC-07; SRC-09</t>
        </is>
      </c>
      <c r="D53" s="27" t="inlineStr">
        <is>
          <t>M6.7,M8.1,M8.5</t>
        </is>
      </c>
      <c r="E53" s="27" t="inlineStr">
        <is>
          <t>MOD-12</t>
        </is>
      </c>
      <c r="F53" s="27" t="inlineStr">
        <is>
          <t>IO-15</t>
        </is>
      </c>
      <c r="G53" s="27" t="inlineStr">
        <is>
          <t>G8</t>
        </is>
      </c>
      <c r="H53" s="27" t="inlineStr">
        <is>
          <t>Core demo</t>
        </is>
      </c>
      <c r="I53" s="27" t="inlineStr">
        <is>
          <t>Test/eval report + UI/API demo + audit/manifest</t>
        </is>
      </c>
      <c r="J53" s="27" t="inlineStr">
        <is>
          <t>PLANNED — chưa nghiệm thu</t>
        </is>
      </c>
    </row>
    <row r="54" ht="45.75" customHeight="1">
      <c r="A54" s="29" t="inlineStr">
        <is>
          <t>OPS-SCALING</t>
        </is>
      </c>
      <c r="B54" s="29" t="inlineStr">
        <is>
          <t>API/ABSA/retrieval/graph/LLM/jobs separate resource boundaries and scaling targets</t>
        </is>
      </c>
      <c r="C54" s="29" t="inlineStr">
        <is>
          <t>SRC-02 §5–22; SRC-05; SRC-06; SRC-07; SRC-09</t>
        </is>
      </c>
      <c r="D54" s="29" t="inlineStr">
        <is>
          <t>M0.3,M4.5,M8.2,M8.4</t>
        </is>
      </c>
      <c r="E54" s="29" t="inlineStr">
        <is>
          <t>MOD-12</t>
        </is>
      </c>
      <c r="F54" s="29" t="inlineStr">
        <is>
          <t>IO-15</t>
        </is>
      </c>
      <c r="G54" s="29" t="inlineStr">
        <is>
          <t>G8</t>
        </is>
      </c>
      <c r="H54" s="29" t="inlineStr">
        <is>
          <t>Core bounded tests/design; sustained/live scale conditional</t>
        </is>
      </c>
      <c r="I54" s="29" t="inlineStr">
        <is>
          <t>Test/eval report + UI/API demo + audit/manifest</t>
        </is>
      </c>
      <c r="J54" s="29" t="inlineStr">
        <is>
          <t>PLANNED — chưa nghiệm thu</t>
        </is>
      </c>
    </row>
    <row r="55" ht="45.75" customHeight="1">
      <c r="A55" s="27" t="inlineStr">
        <is>
          <t>OPS-SECURITY</t>
        </is>
      </c>
      <c r="B55" s="27" t="inlineStr">
        <is>
          <t>OIDC least privilege, per-service identity, secrets, non-root/read-only, network restrictions</t>
        </is>
      </c>
      <c r="C55" s="27" t="inlineStr">
        <is>
          <t>SRC-02 §5–22; SRC-05; SRC-06; SRC-07; SRC-09</t>
        </is>
      </c>
      <c r="D55" s="27" t="inlineStr">
        <is>
          <t>M8.2,M8.5</t>
        </is>
      </c>
      <c r="E55" s="27" t="inlineStr">
        <is>
          <t>MOD-12</t>
        </is>
      </c>
      <c r="F55" s="27" t="inlineStr">
        <is>
          <t>IO-15</t>
        </is>
      </c>
      <c r="G55" s="27" t="inlineStr">
        <is>
          <t>G8</t>
        </is>
      </c>
      <c r="H55" s="27" t="inlineStr">
        <is>
          <t>Core bounded tests/design; sustained/live scale conditional</t>
        </is>
      </c>
      <c r="I55" s="27" t="inlineStr">
        <is>
          <t>Test/eval report + UI/API demo + audit/manifest</t>
        </is>
      </c>
      <c r="J55" s="27" t="inlineStr">
        <is>
          <t>PLANNED — chưa nghiệm thu</t>
        </is>
      </c>
    </row>
    <row r="56" ht="45.75" customHeight="1">
      <c r="A56" s="29" t="inlineStr">
        <is>
          <t>OPS-RECOVERY</t>
        </is>
      </c>
      <c r="B56" s="29" t="inlineStr">
        <is>
          <t>Backup/rebuild index/restore/rollback; incident runbooks; dependency failure paths</t>
        </is>
      </c>
      <c r="C56" s="29" t="inlineStr">
        <is>
          <t>SRC-02 §5–22; SRC-05; SRC-06; SRC-07; SRC-09</t>
        </is>
      </c>
      <c r="D56" s="29" t="inlineStr">
        <is>
          <t>M2.7,M6.7,M8.4,M8.5,M8.8</t>
        </is>
      </c>
      <c r="E56" s="29" t="inlineStr">
        <is>
          <t>MOD-12</t>
        </is>
      </c>
      <c r="F56" s="29" t="inlineStr">
        <is>
          <t>IO-15</t>
        </is>
      </c>
      <c r="G56" s="29" t="inlineStr">
        <is>
          <t>G8</t>
        </is>
      </c>
      <c r="H56" s="29" t="inlineStr">
        <is>
          <t>Core demo</t>
        </is>
      </c>
      <c r="I56" s="29" t="inlineStr">
        <is>
          <t>Test/eval report + UI/API demo + audit/manifest</t>
        </is>
      </c>
      <c r="J56" s="29" t="inlineStr">
        <is>
          <t>PLANNED — chưa nghiệm thu</t>
        </is>
      </c>
    </row>
    <row r="57" ht="35.25" customHeight="1">
      <c r="A57" s="27" t="inlineStr">
        <is>
          <t>QA-TEST-PYRAMID</t>
        </is>
      </c>
      <c r="B57" s="27" t="inlineStr">
        <is>
          <t>Unit/contract/integration/eval/E2E/smoke/load; versioned AI gates</t>
        </is>
      </c>
      <c r="C57" s="27" t="inlineStr">
        <is>
          <t>SRC-02 §5–22; SRC-05; SRC-06; SRC-07; SRC-09</t>
        </is>
      </c>
      <c r="D57" s="27" t="inlineStr">
        <is>
          <t>M0.4,M2.8,M3.7,M4.4,M5.4,M6.8,M7.5,M8.1,M8.6</t>
        </is>
      </c>
      <c r="E57" s="27" t="inlineStr">
        <is>
          <t>MOD-12</t>
        </is>
      </c>
      <c r="F57" s="27" t="inlineStr">
        <is>
          <t>IO-14</t>
        </is>
      </c>
      <c r="G57" s="27" t="inlineStr">
        <is>
          <t>G8</t>
        </is>
      </c>
      <c r="H57" s="27" t="inlineStr">
        <is>
          <t>Core demo</t>
        </is>
      </c>
      <c r="I57" s="27" t="inlineStr">
        <is>
          <t>Test/eval report + UI/API demo + audit/manifest</t>
        </is>
      </c>
      <c r="J57" s="27" t="inlineStr">
        <is>
          <t>PLANNED — chưa nghiệm thu</t>
        </is>
      </c>
    </row>
    <row r="58" ht="45.75" customHeight="1">
      <c r="A58" s="29" t="inlineStr">
        <is>
          <t>QA-ABSA</t>
        </is>
      </c>
      <c r="B58" s="29" t="inlineStr">
        <is>
          <t>ATE/APC/category/calibration; macro/per-aspect/slices; no hallucinated aspect</t>
        </is>
      </c>
      <c r="C58" s="29" t="inlineStr">
        <is>
          <t>SRC-02 §5–22; SRC-05; SRC-06; SRC-07; SRC-09</t>
        </is>
      </c>
      <c r="D58" s="29" t="inlineStr">
        <is>
          <t>M4.1,M4.2,M4.3,M4.4</t>
        </is>
      </c>
      <c r="E58" s="29" t="inlineStr">
        <is>
          <t>MOD-07</t>
        </is>
      </c>
      <c r="F58" s="29" t="inlineStr">
        <is>
          <t>IO-10,IO-14</t>
        </is>
      </c>
      <c r="G58" s="29" t="inlineStr">
        <is>
          <t>G4</t>
        </is>
      </c>
      <c r="H58" s="29" t="inlineStr">
        <is>
          <t>Core demo</t>
        </is>
      </c>
      <c r="I58" s="29" t="inlineStr">
        <is>
          <t>Test/eval report + UI/API demo + audit/manifest</t>
        </is>
      </c>
      <c r="J58" s="29" t="inlineStr">
        <is>
          <t>PLANNED — chưa nghiệm thu</t>
        </is>
      </c>
    </row>
    <row r="59" ht="45.75" customHeight="1">
      <c r="A59" s="27" t="inlineStr">
        <is>
          <t>QA-RETRIEVAL</t>
        </is>
      </c>
      <c r="B59" s="27" t="inlineStr">
        <is>
          <t>BM25/dense/hybrid/rerank comparison, Recall/MRR/nDCG, filter correctness/diversity/index freshness</t>
        </is>
      </c>
      <c r="C59" s="27" t="inlineStr">
        <is>
          <t>SRC-02 §5–22; SRC-05; SRC-06; SRC-07; SRC-09</t>
        </is>
      </c>
      <c r="D59" s="27" t="inlineStr">
        <is>
          <t>M2.2,M2.3,M5.3,M6.8</t>
        </is>
      </c>
      <c r="E59" s="27" t="inlineStr">
        <is>
          <t>MOD-04</t>
        </is>
      </c>
      <c r="F59" s="27" t="inlineStr">
        <is>
          <t>IO-05,IO-14</t>
        </is>
      </c>
      <c r="G59" s="27" t="inlineStr">
        <is>
          <t>G6</t>
        </is>
      </c>
      <c r="H59" s="27" t="inlineStr">
        <is>
          <t>Core demo</t>
        </is>
      </c>
      <c r="I59" s="27" t="inlineStr">
        <is>
          <t>Test/eval report + UI/API demo + audit/manifest</t>
        </is>
      </c>
      <c r="J59" s="27" t="inlineStr">
        <is>
          <t>PLANNED — chưa nghiệm thu</t>
        </is>
      </c>
    </row>
    <row r="60" ht="45.75" customHeight="1">
      <c r="A60" s="29" t="inlineStr">
        <is>
          <t>QA-GRAPH</t>
        </is>
      </c>
      <c r="B60" s="29" t="inlineStr">
        <is>
          <t>Schema/entity integrity, orphan/duplicates, relation correctness, evidence, stale policy, approval</t>
        </is>
      </c>
      <c r="C60" s="29" t="inlineStr">
        <is>
          <t>SRC-02 §5–22; SRC-05; SRC-06; SRC-07; SRC-09</t>
        </is>
      </c>
      <c r="D60" s="29" t="inlineStr">
        <is>
          <t>M6.1,M6.2,M6.7,M6.8</t>
        </is>
      </c>
      <c r="E60" s="29" t="inlineStr">
        <is>
          <t>MOD-08</t>
        </is>
      </c>
      <c r="F60" s="29" t="inlineStr">
        <is>
          <t>IO-12,IO-14</t>
        </is>
      </c>
      <c r="G60" s="29" t="inlineStr">
        <is>
          <t>G6</t>
        </is>
      </c>
      <c r="H60" s="29" t="inlineStr">
        <is>
          <t>Core demo</t>
        </is>
      </c>
      <c r="I60" s="29" t="inlineStr">
        <is>
          <t>Test/eval report + UI/API demo + audit/manifest</t>
        </is>
      </c>
      <c r="J60" s="29" t="inlineStr">
        <is>
          <t>PLANNED — chưa nghiệm thu</t>
        </is>
      </c>
    </row>
    <row r="61" ht="45.75" customHeight="1">
      <c r="A61" s="27" t="inlineStr">
        <is>
          <t>QA-RESOLUTION</t>
        </is>
      </c>
      <c r="B61" s="27" t="inlineStr">
        <is>
          <t>Groundedness/citation precision/completeness, policy correctness, unsupported action, abstention</t>
        </is>
      </c>
      <c r="C61" s="27" t="inlineStr">
        <is>
          <t>SRC-02 §5–22; SRC-05; SRC-06; SRC-07; SRC-09</t>
        </is>
      </c>
      <c r="D61" s="27" t="inlineStr">
        <is>
          <t>M2.8,M3.7,M6.8,M8.6</t>
        </is>
      </c>
      <c r="E61" s="27" t="inlineStr">
        <is>
          <t>MOD-03,MOD-06</t>
        </is>
      </c>
      <c r="F61" s="27" t="inlineStr">
        <is>
          <t>IO-08,IO-14</t>
        </is>
      </c>
      <c r="G61" s="27" t="inlineStr">
        <is>
          <t>G8</t>
        </is>
      </c>
      <c r="H61" s="27" t="inlineStr">
        <is>
          <t>Core demo</t>
        </is>
      </c>
      <c r="I61" s="27" t="inlineStr">
        <is>
          <t>Test/eval report + UI/API demo + audit/manifest</t>
        </is>
      </c>
      <c r="J61" s="27" t="inlineStr">
        <is>
          <t>PLANNED — chưa nghiệm thu</t>
        </is>
      </c>
    </row>
    <row r="62" ht="45.75" customHeight="1">
      <c r="A62" s="29" t="inlineStr">
        <is>
          <t>QA-NFR</t>
        </is>
      </c>
      <c r="B62" s="29" t="inlineStr">
        <is>
          <t>Latency/p95/p99/throughput/availability/freshness/scaling/error/reliability/cost</t>
        </is>
      </c>
      <c r="C62" s="29" t="inlineStr">
        <is>
          <t>SRC-02 §5–22; SRC-05; SRC-06; SRC-07; SRC-09</t>
        </is>
      </c>
      <c r="D62" s="29" t="inlineStr">
        <is>
          <t>M2.7,M7.3,M8.3,M8.4</t>
        </is>
      </c>
      <c r="E62" s="29" t="inlineStr">
        <is>
          <t>MOD-12</t>
        </is>
      </c>
      <c r="F62" s="29" t="inlineStr">
        <is>
          <t>IO-15</t>
        </is>
      </c>
      <c r="G62" s="29" t="inlineStr">
        <is>
          <t>G8</t>
        </is>
      </c>
      <c r="H62" s="29" t="inlineStr">
        <is>
          <t>Core bounded tests/design; sustained/live scale conditional</t>
        </is>
      </c>
      <c r="I62" s="29" t="inlineStr">
        <is>
          <t>Test/eval report + UI/API demo + audit/manifest</t>
        </is>
      </c>
      <c r="J62" s="29" t="inlineStr">
        <is>
          <t>PLANNED — chưa nghiệm thu</t>
        </is>
      </c>
    </row>
    <row r="63" ht="45.75" customHeight="1">
      <c r="A63" s="27" t="inlineStr">
        <is>
          <t>QA-BUSINESS</t>
        </is>
      </c>
      <c r="B63" s="27" t="inlineStr">
        <is>
          <t>FRT/AHT/MTTR/FCR/CSAT/reopen/escalation/recurrence/cost/acceptance; baseline and sample size</t>
        </is>
      </c>
      <c r="C63" s="27" t="inlineStr">
        <is>
          <t>SRC-02 §5–22; SRC-05; SRC-06; SRC-07; SRC-09</t>
        </is>
      </c>
      <c r="D63" s="27" t="inlineStr">
        <is>
          <t>M0.4,M3.6,M5.2,M8.7</t>
        </is>
      </c>
      <c r="E63" s="27" t="inlineStr">
        <is>
          <t>MOD-09</t>
        </is>
      </c>
      <c r="F63" s="27" t="inlineStr">
        <is>
          <t>IO-09,IO-11</t>
        </is>
      </c>
      <c r="G63" s="27" t="inlineStr">
        <is>
          <t>G8</t>
        </is>
      </c>
      <c r="H63" s="27" t="inlineStr">
        <is>
          <t>Core instrumentation; real impact conditional</t>
        </is>
      </c>
      <c r="I63" s="27" t="inlineStr">
        <is>
          <t>Test/eval report + UI/API demo + audit/manifest</t>
        </is>
      </c>
      <c r="J63" s="27" t="inlineStr">
        <is>
          <t>PLANNED — chưa nghiệm thu</t>
        </is>
      </c>
    </row>
    <row r="64" ht="45.75" customHeight="1">
      <c r="A64" s="29" t="inlineStr">
        <is>
          <t>HANDOVER</t>
        </is>
      </c>
      <c r="B64" s="29" t="inlineStr">
        <is>
          <t>User stories demonstrated; AI eval; knowledge/governance; release/runbooks; defense narrative</t>
        </is>
      </c>
      <c r="C64" s="29" t="inlineStr">
        <is>
          <t>SRC-02 §5–22; SRC-05; SRC-06; SRC-07; SRC-09</t>
        </is>
      </c>
      <c r="D64" s="29" t="inlineStr">
        <is>
          <t>M8.6,M8.8</t>
        </is>
      </c>
      <c r="E64" s="29" t="inlineStr">
        <is>
          <t>MOD-12</t>
        </is>
      </c>
      <c r="F64" s="29" t="inlineStr">
        <is>
          <t>IO-14,IO-15</t>
        </is>
      </c>
      <c r="G64" s="29" t="inlineStr">
        <is>
          <t>G8</t>
        </is>
      </c>
      <c r="H64" s="29" t="inlineStr">
        <is>
          <t>Core demo</t>
        </is>
      </c>
      <c r="I64" s="29" t="inlineStr">
        <is>
          <t>Test/eval report + UI/API demo + audit/manifest</t>
        </is>
      </c>
      <c r="J64" s="29" t="inlineStr">
        <is>
          <t>PLANNED — chưa nghiệm thu</t>
        </is>
      </c>
    </row>
    <row r="65" ht="35.25" customHeight="1">
      <c r="A65" s="27" t="inlineStr">
        <is>
          <t>ABSA-AC-01</t>
        </is>
      </c>
      <c r="B65" s="27" t="inlineStr">
        <is>
          <t>Multi-aspect contrasting review correct</t>
        </is>
      </c>
      <c r="C65" s="27" t="inlineStr">
        <is>
          <t>SRC-07 ABSA acceptance</t>
        </is>
      </c>
      <c r="D65" s="27" t="inlineStr">
        <is>
          <t>M4.2,M4.7</t>
        </is>
      </c>
      <c r="E65" s="27" t="inlineStr">
        <is>
          <t>MOD-07,MOD-12</t>
        </is>
      </c>
      <c r="F65" s="27" t="inlineStr">
        <is>
          <t>IO-10,IO-14</t>
        </is>
      </c>
      <c r="G65" s="27" t="inlineStr">
        <is>
          <t>G4,G8</t>
        </is>
      </c>
      <c r="H65" s="27" t="inlineStr">
        <is>
          <t>Core demo</t>
        </is>
      </c>
      <c r="I65" s="27" t="inlineStr">
        <is>
          <t>Test/eval report + UI/API demo + audit/manifest</t>
        </is>
      </c>
      <c r="J65" s="27" t="inlineStr">
        <is>
          <t>PLANNED — chưa nghiệm thu</t>
        </is>
      </c>
    </row>
    <row r="66" ht="35.25" customHeight="1">
      <c r="A66" s="29" t="inlineStr">
        <is>
          <t>ABSA-AC-02</t>
        </is>
      </c>
      <c r="B66" s="29" t="inlineStr">
        <is>
          <t>Output schema/version/record ID</t>
        </is>
      </c>
      <c r="C66" s="29" t="inlineStr">
        <is>
          <t>SRC-07 ABSA acceptance</t>
        </is>
      </c>
      <c r="D66" s="29" t="inlineStr">
        <is>
          <t>M4.2,M4.5</t>
        </is>
      </c>
      <c r="E66" s="29" t="inlineStr">
        <is>
          <t>MOD-07,MOD-12</t>
        </is>
      </c>
      <c r="F66" s="29" t="inlineStr">
        <is>
          <t>IO-10,IO-14</t>
        </is>
      </c>
      <c r="G66" s="29" t="inlineStr">
        <is>
          <t>G4,G8</t>
        </is>
      </c>
      <c r="H66" s="29" t="inlineStr">
        <is>
          <t>Core demo</t>
        </is>
      </c>
      <c r="I66" s="29" t="inlineStr">
        <is>
          <t>Test/eval report + UI/API demo + audit/manifest</t>
        </is>
      </c>
      <c r="J66" s="29" t="inlineStr">
        <is>
          <t>PLANNED — chưa nghiệm thu</t>
        </is>
      </c>
    </row>
    <row r="67" ht="35.25" customHeight="1">
      <c r="A67" s="27" t="inlineStr">
        <is>
          <t>ABSA-AC-03</t>
        </is>
      </c>
      <c r="B67" s="27" t="inlineStr">
        <is>
          <t>Không bịa aspect; none/other behavior</t>
        </is>
      </c>
      <c r="C67" s="27" t="inlineStr">
        <is>
          <t>SRC-07 ABSA acceptance</t>
        </is>
      </c>
      <c r="D67" s="27" t="inlineStr">
        <is>
          <t>M4.2</t>
        </is>
      </c>
      <c r="E67" s="27" t="inlineStr">
        <is>
          <t>MOD-07,MOD-12</t>
        </is>
      </c>
      <c r="F67" s="27" t="inlineStr">
        <is>
          <t>IO-10,IO-14</t>
        </is>
      </c>
      <c r="G67" s="27" t="inlineStr">
        <is>
          <t>G4,G8</t>
        </is>
      </c>
      <c r="H67" s="27" t="inlineStr">
        <is>
          <t>Core demo</t>
        </is>
      </c>
      <c r="I67" s="27" t="inlineStr">
        <is>
          <t>Test/eval report + UI/API demo + audit/manifest</t>
        </is>
      </c>
      <c r="J67" s="27" t="inlineStr">
        <is>
          <t>PLANNED — chưa nghiệm thu</t>
        </is>
      </c>
    </row>
    <row r="68" ht="35.25" customHeight="1">
      <c r="A68" s="29" t="inlineStr">
        <is>
          <t>ABSA-AC-04</t>
        </is>
      </c>
      <c r="B68" s="29" t="inlineStr">
        <is>
          <t>Validation lỗi có cấu trúc</t>
        </is>
      </c>
      <c r="C68" s="29" t="inlineStr">
        <is>
          <t>SRC-07 ABSA acceptance</t>
        </is>
      </c>
      <c r="D68" s="29" t="inlineStr">
        <is>
          <t>M4.5</t>
        </is>
      </c>
      <c r="E68" s="29" t="inlineStr">
        <is>
          <t>MOD-07,MOD-12</t>
        </is>
      </c>
      <c r="F68" s="29" t="inlineStr">
        <is>
          <t>IO-10,IO-14</t>
        </is>
      </c>
      <c r="G68" s="29" t="inlineStr">
        <is>
          <t>G4,G8</t>
        </is>
      </c>
      <c r="H68" s="29" t="inlineStr">
        <is>
          <t>Core demo</t>
        </is>
      </c>
      <c r="I68" s="29" t="inlineStr">
        <is>
          <t>Test/eval report + UI/API demo + audit/manifest</t>
        </is>
      </c>
      <c r="J68" s="29" t="inlineStr">
        <is>
          <t>PLANNED — chưa nghiệm thu</t>
        </is>
      </c>
    </row>
    <row r="69" ht="35.25" customHeight="1">
      <c r="A69" s="27" t="inlineStr">
        <is>
          <t>ABSA-AC-05</t>
        </is>
      </c>
      <c r="B69" s="27" t="inlineStr">
        <is>
          <t>Macro-F1 floor theo release</t>
        </is>
      </c>
      <c r="C69" s="27" t="inlineStr">
        <is>
          <t>SRC-07 ABSA acceptance</t>
        </is>
      </c>
      <c r="D69" s="27" t="inlineStr">
        <is>
          <t>M4.4</t>
        </is>
      </c>
      <c r="E69" s="27" t="inlineStr">
        <is>
          <t>MOD-07,MOD-12</t>
        </is>
      </c>
      <c r="F69" s="27" t="inlineStr">
        <is>
          <t>IO-10,IO-14</t>
        </is>
      </c>
      <c r="G69" s="27" t="inlineStr">
        <is>
          <t>G4,G8</t>
        </is>
      </c>
      <c r="H69" s="27" t="inlineStr">
        <is>
          <t>Core demo</t>
        </is>
      </c>
      <c r="I69" s="27" t="inlineStr">
        <is>
          <t>Test/eval report + UI/API demo + audit/manifest</t>
        </is>
      </c>
      <c r="J69" s="27" t="inlineStr">
        <is>
          <t>PLANNED — chưa nghiệm thu</t>
        </is>
      </c>
    </row>
    <row r="70" ht="35.25" customHeight="1">
      <c r="A70" s="29" t="inlineStr">
        <is>
          <t>ABSA-AC-06</t>
        </is>
      </c>
      <c r="B70" s="29" t="inlineStr">
        <is>
          <t>Critical aspect F1 floor</t>
        </is>
      </c>
      <c r="C70" s="29" t="inlineStr">
        <is>
          <t>SRC-07 ABSA acceptance</t>
        </is>
      </c>
      <c r="D70" s="29" t="inlineStr">
        <is>
          <t>M4.4</t>
        </is>
      </c>
      <c r="E70" s="29" t="inlineStr">
        <is>
          <t>MOD-07,MOD-12</t>
        </is>
      </c>
      <c r="F70" s="29" t="inlineStr">
        <is>
          <t>IO-10,IO-14</t>
        </is>
      </c>
      <c r="G70" s="29" t="inlineStr">
        <is>
          <t>G4,G8</t>
        </is>
      </c>
      <c r="H70" s="29" t="inlineStr">
        <is>
          <t>Core demo</t>
        </is>
      </c>
      <c r="I70" s="29" t="inlineStr">
        <is>
          <t>Test/eval report + UI/API demo + audit/manifest</t>
        </is>
      </c>
      <c r="J70" s="29" t="inlineStr">
        <is>
          <t>PLANNED — chưa nghiệm thu</t>
        </is>
      </c>
    </row>
    <row r="71" ht="35.25" customHeight="1">
      <c r="A71" s="27" t="inlineStr">
        <is>
          <t>ABSA-AC-07</t>
        </is>
      </c>
      <c r="B71" s="27" t="inlineStr">
        <is>
          <t>Inference p95 trên hardware pin</t>
        </is>
      </c>
      <c r="C71" s="27" t="inlineStr">
        <is>
          <t>SRC-07 ABSA acceptance</t>
        </is>
      </c>
      <c r="D71" s="27" t="inlineStr">
        <is>
          <t>M4.4,M8.4</t>
        </is>
      </c>
      <c r="E71" s="27" t="inlineStr">
        <is>
          <t>MOD-07,MOD-12</t>
        </is>
      </c>
      <c r="F71" s="27" t="inlineStr">
        <is>
          <t>IO-10,IO-14</t>
        </is>
      </c>
      <c r="G71" s="27" t="inlineStr">
        <is>
          <t>G4,G8</t>
        </is>
      </c>
      <c r="H71" s="27" t="inlineStr">
        <is>
          <t>Core demo</t>
        </is>
      </c>
      <c r="I71" s="27" t="inlineStr">
        <is>
          <t>Test/eval report + UI/API demo + audit/manifest</t>
        </is>
      </c>
      <c r="J71" s="27" t="inlineStr">
        <is>
          <t>PLANNED — chưa nghiệm thu</t>
        </is>
      </c>
    </row>
    <row r="72" ht="35.25" customHeight="1">
      <c r="A72" s="29" t="inlineStr">
        <is>
          <t>ABSA-AC-08</t>
        </is>
      </c>
      <c r="B72" s="29" t="inlineStr">
        <is>
          <t>PII trong logs được mask</t>
        </is>
      </c>
      <c r="C72" s="29" t="inlineStr">
        <is>
          <t>SRC-07 ABSA acceptance</t>
        </is>
      </c>
      <c r="D72" s="29" t="inlineStr">
        <is>
          <t>M1.3,M8.5</t>
        </is>
      </c>
      <c r="E72" s="29" t="inlineStr">
        <is>
          <t>MOD-07,MOD-12</t>
        </is>
      </c>
      <c r="F72" s="29" t="inlineStr">
        <is>
          <t>IO-10,IO-14</t>
        </is>
      </c>
      <c r="G72" s="29" t="inlineStr">
        <is>
          <t>G4,G8</t>
        </is>
      </c>
      <c r="H72" s="29" t="inlineStr">
        <is>
          <t>Core demo</t>
        </is>
      </c>
      <c r="I72" s="29" t="inlineStr">
        <is>
          <t>Test/eval report + UI/API demo + audit/manifest</t>
        </is>
      </c>
      <c r="J72" s="29" t="inlineStr">
        <is>
          <t>PLANNED — chưa nghiệm thu</t>
        </is>
      </c>
    </row>
    <row r="73" ht="35.25" customHeight="1">
      <c r="A73" s="27" t="inlineStr">
        <is>
          <t>ABSA-AC-09</t>
        </is>
      </c>
      <c r="B73" s="27" t="inlineStr">
        <is>
          <t>Truy vết hai model versions</t>
        </is>
      </c>
      <c r="C73" s="27" t="inlineStr">
        <is>
          <t>SRC-07 ABSA acceptance</t>
        </is>
      </c>
      <c r="D73" s="27" t="inlineStr">
        <is>
          <t>M4.5,M5.1</t>
        </is>
      </c>
      <c r="E73" s="27" t="inlineStr">
        <is>
          <t>MOD-07,MOD-12</t>
        </is>
      </c>
      <c r="F73" s="27" t="inlineStr">
        <is>
          <t>IO-10,IO-14</t>
        </is>
      </c>
      <c r="G73" s="27" t="inlineStr">
        <is>
          <t>G4,G8</t>
        </is>
      </c>
      <c r="H73" s="27" t="inlineStr">
        <is>
          <t>Core demo</t>
        </is>
      </c>
      <c r="I73" s="27" t="inlineStr">
        <is>
          <t>Test/eval report + UI/API demo + audit/manifest</t>
        </is>
      </c>
      <c r="J73" s="27" t="inlineStr">
        <is>
          <t>PLANNED — chưa nghiệm thu</t>
        </is>
      </c>
    </row>
    <row r="74" ht="35.25" customHeight="1">
      <c r="A74" s="29" t="inlineStr">
        <is>
          <t>ABSA-AC-10</t>
        </is>
      </c>
      <c r="B74" s="29" t="inlineStr">
        <is>
          <t>Unsupported language rõ</t>
        </is>
      </c>
      <c r="C74" s="29" t="inlineStr">
        <is>
          <t>SRC-07 ABSA acceptance</t>
        </is>
      </c>
      <c r="D74" s="29" t="inlineStr">
        <is>
          <t>M4.2,M4.6</t>
        </is>
      </c>
      <c r="E74" s="29" t="inlineStr">
        <is>
          <t>MOD-07,MOD-12</t>
        </is>
      </c>
      <c r="F74" s="29" t="inlineStr">
        <is>
          <t>IO-10,IO-14</t>
        </is>
      </c>
      <c r="G74" s="29" t="inlineStr">
        <is>
          <t>G4,G8</t>
        </is>
      </c>
      <c r="H74" s="29" t="inlineStr">
        <is>
          <t>Core demo</t>
        </is>
      </c>
      <c r="I74" s="29" t="inlineStr">
        <is>
          <t>Test/eval report + UI/API demo + audit/manifest</t>
        </is>
      </c>
      <c r="J74" s="29" t="inlineStr">
        <is>
          <t>PLANNED — chưa nghiệm thu</t>
        </is>
      </c>
    </row>
    <row r="75" ht="35.25" customHeight="1">
      <c r="A75" s="27" t="inlineStr">
        <is>
          <t>RET-AC-01</t>
        </is>
      </c>
      <c r="B75" s="27" t="inlineStr">
        <is>
          <t>Ranked hits/schema/index version</t>
        </is>
      </c>
      <c r="C75" s="27" t="inlineStr">
        <is>
          <t>SRC-07 Retrieval acceptance</t>
        </is>
      </c>
      <c r="D75" s="27" t="inlineStr">
        <is>
          <t>M2.1</t>
        </is>
      </c>
      <c r="E75" s="27" t="inlineStr">
        <is>
          <t>MOD-04,MOD-12</t>
        </is>
      </c>
      <c r="F75" s="27" t="inlineStr">
        <is>
          <t>IO-05,IO-14</t>
        </is>
      </c>
      <c r="G75" s="27" t="inlineStr">
        <is>
          <t>G2,G5,G8</t>
        </is>
      </c>
      <c r="H75" s="27" t="inlineStr">
        <is>
          <t>Core demo</t>
        </is>
      </c>
      <c r="I75" s="27" t="inlineStr">
        <is>
          <t>Test/eval report + UI/API demo + audit/manifest</t>
        </is>
      </c>
      <c r="J75" s="27" t="inlineStr">
        <is>
          <t>PLANNED — chưa nghiệm thu</t>
        </is>
      </c>
    </row>
    <row r="76" ht="35.25" customHeight="1">
      <c r="A76" s="29" t="inlineStr">
        <is>
          <t>RET-AC-02</t>
        </is>
      </c>
      <c r="B76" s="29" t="inlineStr">
        <is>
          <t>Exact filter correctness</t>
        </is>
      </c>
      <c r="C76" s="29" t="inlineStr">
        <is>
          <t>SRC-07 Retrieval acceptance</t>
        </is>
      </c>
      <c r="D76" s="29" t="inlineStr">
        <is>
          <t>M5.3</t>
        </is>
      </c>
      <c r="E76" s="29" t="inlineStr">
        <is>
          <t>MOD-04,MOD-12</t>
        </is>
      </c>
      <c r="F76" s="29" t="inlineStr">
        <is>
          <t>IO-05,IO-14</t>
        </is>
      </c>
      <c r="G76" s="29" t="inlineStr">
        <is>
          <t>G2,G5,G8</t>
        </is>
      </c>
      <c r="H76" s="29" t="inlineStr">
        <is>
          <t>Core demo</t>
        </is>
      </c>
      <c r="I76" s="29" t="inlineStr">
        <is>
          <t>Test/eval report + UI/API demo + audit/manifest</t>
        </is>
      </c>
      <c r="J76" s="29" t="inlineStr">
        <is>
          <t>PLANNED — chưa nghiệm thu</t>
        </is>
      </c>
    </row>
    <row r="77" ht="35.25" customHeight="1">
      <c r="A77" s="27" t="inlineStr">
        <is>
          <t>RET-AC-03</t>
        </is>
      </c>
      <c r="B77" s="27" t="inlineStr">
        <is>
          <t>Recall@10 baseline threshold</t>
        </is>
      </c>
      <c r="C77" s="27" t="inlineStr">
        <is>
          <t>SRC-07 Retrieval acceptance</t>
        </is>
      </c>
      <c r="D77" s="27" t="inlineStr">
        <is>
          <t>M2.2,M5.3</t>
        </is>
      </c>
      <c r="E77" s="27" t="inlineStr">
        <is>
          <t>MOD-04,MOD-12</t>
        </is>
      </c>
      <c r="F77" s="27" t="inlineStr">
        <is>
          <t>IO-05,IO-14</t>
        </is>
      </c>
      <c r="G77" s="27" t="inlineStr">
        <is>
          <t>G2,G5,G8</t>
        </is>
      </c>
      <c r="H77" s="27" t="inlineStr">
        <is>
          <t>Core demo</t>
        </is>
      </c>
      <c r="I77" s="27" t="inlineStr">
        <is>
          <t>Test/eval report + UI/API demo + audit/manifest</t>
        </is>
      </c>
      <c r="J77" s="27" t="inlineStr">
        <is>
          <t>PLANNED — chưa nghiệm thu</t>
        </is>
      </c>
    </row>
    <row r="78" ht="35.25" customHeight="1">
      <c r="A78" s="29" t="inlineStr">
        <is>
          <t>RET-AC-04</t>
        </is>
      </c>
      <c r="B78" s="29" t="inlineStr">
        <is>
          <t>nDCG@10 graded relevance</t>
        </is>
      </c>
      <c r="C78" s="29" t="inlineStr">
        <is>
          <t>SRC-07 Retrieval acceptance</t>
        </is>
      </c>
      <c r="D78" s="29" t="inlineStr">
        <is>
          <t>M5.3</t>
        </is>
      </c>
      <c r="E78" s="29" t="inlineStr">
        <is>
          <t>MOD-04,MOD-12</t>
        </is>
      </c>
      <c r="F78" s="29" t="inlineStr">
        <is>
          <t>IO-05,IO-14</t>
        </is>
      </c>
      <c r="G78" s="29" t="inlineStr">
        <is>
          <t>G2,G5,G8</t>
        </is>
      </c>
      <c r="H78" s="29" t="inlineStr">
        <is>
          <t>Core demo</t>
        </is>
      </c>
      <c r="I78" s="29" t="inlineStr">
        <is>
          <t>Test/eval report + UI/API demo + audit/manifest</t>
        </is>
      </c>
      <c r="J78" s="29" t="inlineStr">
        <is>
          <t>PLANNED — chưa nghiệm thu</t>
        </is>
      </c>
    </row>
    <row r="79" ht="35.25" customHeight="1">
      <c r="A79" s="27" t="inlineStr">
        <is>
          <t>RET-AC-05</t>
        </is>
      </c>
      <c r="B79" s="27" t="inlineStr">
        <is>
          <t>Source ID resolves</t>
        </is>
      </c>
      <c r="C79" s="27" t="inlineStr">
        <is>
          <t>SRC-07 Retrieval acceptance</t>
        </is>
      </c>
      <c r="D79" s="27" t="inlineStr">
        <is>
          <t>M2.1,M6.8</t>
        </is>
      </c>
      <c r="E79" s="27" t="inlineStr">
        <is>
          <t>MOD-04,MOD-12</t>
        </is>
      </c>
      <c r="F79" s="27" t="inlineStr">
        <is>
          <t>IO-05,IO-14</t>
        </is>
      </c>
      <c r="G79" s="27" t="inlineStr">
        <is>
          <t>G2,G5,G8</t>
        </is>
      </c>
      <c r="H79" s="27" t="inlineStr">
        <is>
          <t>Core demo</t>
        </is>
      </c>
      <c r="I79" s="27" t="inlineStr">
        <is>
          <t>Test/eval report + UI/API demo + audit/manifest</t>
        </is>
      </c>
      <c r="J79" s="27" t="inlineStr">
        <is>
          <t>PLANNED — chưa nghiệm thu</t>
        </is>
      </c>
    </row>
    <row r="80" ht="35.25" customHeight="1">
      <c r="A80" s="29" t="inlineStr">
        <is>
          <t>RET-AC-06</t>
        </is>
      </c>
      <c r="B80" s="29" t="inlineStr">
        <is>
          <t>Empty evidence supported</t>
        </is>
      </c>
      <c r="C80" s="29" t="inlineStr">
        <is>
          <t>SRC-07 Retrieval acceptance</t>
        </is>
      </c>
      <c r="D80" s="29" t="inlineStr">
        <is>
          <t>M2.4</t>
        </is>
      </c>
      <c r="E80" s="29" t="inlineStr">
        <is>
          <t>MOD-04,MOD-12</t>
        </is>
      </c>
      <c r="F80" s="29" t="inlineStr">
        <is>
          <t>IO-05,IO-14</t>
        </is>
      </c>
      <c r="G80" s="29" t="inlineStr">
        <is>
          <t>G2,G5,G8</t>
        </is>
      </c>
      <c r="H80" s="29" t="inlineStr">
        <is>
          <t>Core demo</t>
        </is>
      </c>
      <c r="I80" s="29" t="inlineStr">
        <is>
          <t>Test/eval report + UI/API demo + audit/manifest</t>
        </is>
      </c>
      <c r="J80" s="29" t="inlineStr">
        <is>
          <t>PLANNED — chưa nghiệm thu</t>
        </is>
      </c>
    </row>
    <row r="81" ht="35.25" customHeight="1">
      <c r="A81" s="27" t="inlineStr">
        <is>
          <t>RET-AC-07</t>
        </is>
      </c>
      <c r="B81" s="27" t="inlineStr">
        <is>
          <t>Search p95 bounded corpus</t>
        </is>
      </c>
      <c r="C81" s="27" t="inlineStr">
        <is>
          <t>SRC-07 Retrieval acceptance</t>
        </is>
      </c>
      <c r="D81" s="27" t="inlineStr">
        <is>
          <t>M8.4</t>
        </is>
      </c>
      <c r="E81" s="27" t="inlineStr">
        <is>
          <t>MOD-04,MOD-12</t>
        </is>
      </c>
      <c r="F81" s="27" t="inlineStr">
        <is>
          <t>IO-05,IO-14</t>
        </is>
      </c>
      <c r="G81" s="27" t="inlineStr">
        <is>
          <t>G2,G5,G8</t>
        </is>
      </c>
      <c r="H81" s="27" t="inlineStr">
        <is>
          <t>Core demo</t>
        </is>
      </c>
      <c r="I81" s="27" t="inlineStr">
        <is>
          <t>Test/eval report + UI/API demo + audit/manifest</t>
        </is>
      </c>
      <c r="J81" s="27" t="inlineStr">
        <is>
          <t>PLANNED — chưa nghiệm thu</t>
        </is>
      </c>
    </row>
    <row r="82" ht="35.25" customHeight="1">
      <c r="A82" s="29" t="inlineStr">
        <is>
          <t>RET-AC-08</t>
        </is>
      </c>
      <c r="B82" s="29" t="inlineStr">
        <is>
          <t>Reranker enable only measured gain</t>
        </is>
      </c>
      <c r="C82" s="29" t="inlineStr">
        <is>
          <t>SRC-07 Retrieval acceptance</t>
        </is>
      </c>
      <c r="D82" s="29" t="inlineStr">
        <is>
          <t>M2.3</t>
        </is>
      </c>
      <c r="E82" s="29" t="inlineStr">
        <is>
          <t>MOD-04,MOD-12</t>
        </is>
      </c>
      <c r="F82" s="29" t="inlineStr">
        <is>
          <t>IO-05,IO-14</t>
        </is>
      </c>
      <c r="G82" s="29" t="inlineStr">
        <is>
          <t>G2,G5,G8</t>
        </is>
      </c>
      <c r="H82" s="29" t="inlineStr">
        <is>
          <t>Core demo</t>
        </is>
      </c>
      <c r="I82" s="29" t="inlineStr">
        <is>
          <t>Test/eval report + UI/API demo + audit/manifest</t>
        </is>
      </c>
      <c r="J82" s="29" t="inlineStr">
        <is>
          <t>PLANNED — chưa nghiệm thu</t>
        </is>
      </c>
    </row>
    <row r="83" ht="35.25" customHeight="1">
      <c r="A83" s="27" t="inlineStr">
        <is>
          <t>RET-AC-09</t>
        </is>
      </c>
      <c r="B83" s="27" t="inlineStr">
        <is>
          <t>Index/data/embedding lineage</t>
        </is>
      </c>
      <c r="C83" s="27" t="inlineStr">
        <is>
          <t>SRC-07 Retrieval acceptance</t>
        </is>
      </c>
      <c r="D83" s="27" t="inlineStr">
        <is>
          <t>M2.1,M6.7</t>
        </is>
      </c>
      <c r="E83" s="27" t="inlineStr">
        <is>
          <t>MOD-04,MOD-12</t>
        </is>
      </c>
      <c r="F83" s="27" t="inlineStr">
        <is>
          <t>IO-05,IO-14</t>
        </is>
      </c>
      <c r="G83" s="27" t="inlineStr">
        <is>
          <t>G2,G5,G8</t>
        </is>
      </c>
      <c r="H83" s="27" t="inlineStr">
        <is>
          <t>Core demo</t>
        </is>
      </c>
      <c r="I83" s="27" t="inlineStr">
        <is>
          <t>Test/eval report + UI/API demo + audit/manifest</t>
        </is>
      </c>
      <c r="J83" s="27" t="inlineStr">
        <is>
          <t>PLANNED — chưa nghiệm thu</t>
        </is>
      </c>
    </row>
    <row r="84" ht="35.25" customHeight="1">
      <c r="A84" s="29" t="inlineStr">
        <is>
          <t>RET-AC-10</t>
        </is>
      </c>
      <c r="B84" s="29" t="inlineStr">
        <is>
          <t>Regression gate before index promotion</t>
        </is>
      </c>
      <c r="C84" s="29" t="inlineStr">
        <is>
          <t>SRC-07 Retrieval acceptance</t>
        </is>
      </c>
      <c r="D84" s="29" t="inlineStr">
        <is>
          <t>M8.1</t>
        </is>
      </c>
      <c r="E84" s="29" t="inlineStr">
        <is>
          <t>MOD-04,MOD-12</t>
        </is>
      </c>
      <c r="F84" s="29" t="inlineStr">
        <is>
          <t>IO-05,IO-14</t>
        </is>
      </c>
      <c r="G84" s="29" t="inlineStr">
        <is>
          <t>G2,G5,G8</t>
        </is>
      </c>
      <c r="H84" s="29" t="inlineStr">
        <is>
          <t>Core demo</t>
        </is>
      </c>
      <c r="I84" s="29" t="inlineStr">
        <is>
          <t>Test/eval report + UI/API demo + audit/manifest</t>
        </is>
      </c>
      <c r="J84" s="29" t="inlineStr">
        <is>
          <t>PLANNED — chưa nghiệm thu</t>
        </is>
      </c>
    </row>
    <row r="85" ht="35.25" customHeight="1">
      <c r="A85" s="27" t="inlineStr">
        <is>
          <t>RET-AC-11</t>
        </is>
      </c>
      <c r="B85" s="27" t="inlineStr">
        <is>
          <t>PII/sensitive query logs redacted</t>
        </is>
      </c>
      <c r="C85" s="27" t="inlineStr">
        <is>
          <t>SRC-07 Retrieval acceptance</t>
        </is>
      </c>
      <c r="D85" s="27" t="inlineStr">
        <is>
          <t>M1.3,M8.5</t>
        </is>
      </c>
      <c r="E85" s="27" t="inlineStr">
        <is>
          <t>MOD-04,MOD-12</t>
        </is>
      </c>
      <c r="F85" s="27" t="inlineStr">
        <is>
          <t>IO-05,IO-14</t>
        </is>
      </c>
      <c r="G85" s="27" t="inlineStr">
        <is>
          <t>G2,G5,G8</t>
        </is>
      </c>
      <c r="H85" s="27" t="inlineStr">
        <is>
          <t>Core demo</t>
        </is>
      </c>
      <c r="I85" s="27" t="inlineStr">
        <is>
          <t>Test/eval report + UI/API demo + audit/manifest</t>
        </is>
      </c>
      <c r="J85" s="27" t="inlineStr">
        <is>
          <t>PLANNED — chưa nghiệm thu</t>
        </is>
      </c>
    </row>
    <row r="86" ht="35.25" customHeight="1">
      <c r="A86" s="29" t="inlineStr">
        <is>
          <t>RET-AC-12</t>
        </is>
      </c>
      <c r="B86" s="29" t="inlineStr">
        <is>
          <t>Readiness during rebuild/unavailable</t>
        </is>
      </c>
      <c r="C86" s="29" t="inlineStr">
        <is>
          <t>SRC-07 Retrieval acceptance</t>
        </is>
      </c>
      <c r="D86" s="29" t="inlineStr">
        <is>
          <t>M2.1,M2.7</t>
        </is>
      </c>
      <c r="E86" s="29" t="inlineStr">
        <is>
          <t>MOD-04,MOD-12</t>
        </is>
      </c>
      <c r="F86" s="29" t="inlineStr">
        <is>
          <t>IO-05,IO-14</t>
        </is>
      </c>
      <c r="G86" s="29" t="inlineStr">
        <is>
          <t>G2,G5,G8</t>
        </is>
      </c>
      <c r="H86" s="29" t="inlineStr">
        <is>
          <t>Core demo</t>
        </is>
      </c>
      <c r="I86" s="29" t="inlineStr">
        <is>
          <t>Test/eval report + UI/API demo + audit/manifest</t>
        </is>
      </c>
      <c r="J86" s="29" t="inlineStr">
        <is>
          <t>PLANNED — chưa nghiệm thu</t>
        </is>
      </c>
    </row>
    <row r="87" ht="45.75" customHeight="1">
      <c r="A87" s="27" t="inlineStr">
        <is>
          <t>EXT-01</t>
        </is>
      </c>
      <c r="B87" s="27" t="inlineStr">
        <is>
          <t>Global GraphRAG / DRIFT-like query</t>
        </is>
      </c>
      <c r="C87" s="27" t="inlineStr">
        <is>
          <t>SRC-02 §7.7B,18 Phase5</t>
        </is>
      </c>
      <c r="D87" s="27" t="inlineStr">
        <is>
          <t>M6.9</t>
        </is>
      </c>
      <c r="E87" s="27" t="inlineStr">
        <is>
          <t>MOD-12</t>
        </is>
      </c>
      <c r="F87" s="27" t="inlineStr">
        <is>
          <t>IO-15</t>
        </is>
      </c>
      <c r="G87" s="27" t="inlineStr">
        <is>
          <t>G8</t>
        </is>
      </c>
      <c r="H87" s="27" t="inlineStr">
        <is>
          <t>Deferred sau W14</t>
        </is>
      </c>
      <c r="I87" s="27" t="inlineStr">
        <is>
          <t>Implement bounded experiment; quality/cost report; chỉ promote nếu gain; Không cần cho 5 demo stories local entity-centered</t>
        </is>
      </c>
      <c r="J87" s="27" t="inlineStr">
        <is>
          <t>PLANNED — chưa nghiệm thu</t>
        </is>
      </c>
    </row>
    <row r="88" ht="62.25" customHeight="1">
      <c r="A88" s="29" t="inlineStr">
        <is>
          <t>EXT-02</t>
        </is>
      </c>
      <c r="B88" s="29" t="inlineStr">
        <is>
          <t>Autonomous multi-step actions / proactive outreach</t>
        </is>
      </c>
      <c r="C88" s="29" t="inlineStr">
        <is>
          <t>SRC-02 §18 Phase5</t>
        </is>
      </c>
      <c r="D88" s="29" t="inlineStr">
        <is>
          <t>M6.9</t>
        </is>
      </c>
      <c r="E88" s="29" t="inlineStr">
        <is>
          <t>MOD-12</t>
        </is>
      </c>
      <c r="F88" s="29" t="inlineStr">
        <is>
          <t>IO-15</t>
        </is>
      </c>
      <c r="G88" s="29" t="inlineStr">
        <is>
          <t>G8</t>
        </is>
      </c>
      <c r="H88" s="29" t="inlineStr">
        <is>
          <t>Deferred sau W14</t>
        </is>
      </c>
      <c r="I88" s="29" t="inlineStr">
        <is>
          <t>Controlled action integration + verified delivery/outcome; Chatbot M3 có tools/approval; tự động hoàn tiền/liên hệ chủ động chưa triển khai</t>
        </is>
      </c>
      <c r="J88" s="29" t="inlineStr">
        <is>
          <t>PLANNED — chưa nghiệm thu</t>
        </is>
      </c>
    </row>
    <row r="89" ht="62.25" customHeight="1">
      <c r="A89" s="27" t="inlineStr">
        <is>
          <t>EXT-03</t>
        </is>
      </c>
      <c r="B89" s="27" t="inlineStr">
        <is>
          <t>MicroVM isolation</t>
        </is>
      </c>
      <c r="C89" s="27" t="inlineStr">
        <is>
          <t>SRC-05 L5; SRC-01</t>
        </is>
      </c>
      <c r="D89" s="27" t="inlineStr">
        <is>
          <t>M3.8,M6.9</t>
        </is>
      </c>
      <c r="E89" s="27" t="inlineStr">
        <is>
          <t>MOD-12</t>
        </is>
      </c>
      <c r="F89" s="27" t="inlineStr">
        <is>
          <t>IO-15</t>
        </is>
      </c>
      <c r="G89" s="27" t="inlineStr">
        <is>
          <t>G8</t>
        </is>
      </c>
      <c r="H89" s="27" t="inlineStr">
        <is>
          <t>Conditional extension</t>
        </is>
      </c>
      <c r="I89" s="27" t="inlineStr">
        <is>
          <t>MicroVM proof-of-concept và threat/resource tests; 14 tuần dùng allowlisted typed tools + task/container isolation; không gọi đây là microVM</t>
        </is>
      </c>
      <c r="J89" s="27" t="inlineStr">
        <is>
          <t>PLANNED — chưa nghiệm thu</t>
        </is>
      </c>
    </row>
    <row r="90" ht="45.75" customHeight="1">
      <c r="A90" s="29" t="inlineStr">
        <is>
          <t>EXT-04</t>
        </is>
      </c>
      <c r="B90" s="29" t="inlineStr">
        <is>
          <t>ASTE/ACOS / English expansion / alternative encoder roster</t>
        </is>
      </c>
      <c r="C90" s="29" t="inlineStr">
        <is>
          <t>SRC-02 §7.3; SRC-07 ABSA</t>
        </is>
      </c>
      <c r="D90" s="29" t="inlineStr">
        <is>
          <t>M4.1,M6.9</t>
        </is>
      </c>
      <c r="E90" s="29" t="inlineStr">
        <is>
          <t>MOD-12</t>
        </is>
      </c>
      <c r="F90" s="29" t="inlineStr">
        <is>
          <t>IO-15</t>
        </is>
      </c>
      <c r="G90" s="29" t="inlineStr">
        <is>
          <t>G8</t>
        </is>
      </c>
      <c r="H90" s="29" t="inlineStr">
        <is>
          <t>Deferred sau W14</t>
        </is>
      </c>
      <c r="I90" s="29" t="inlineStr">
        <is>
          <t>Candidate comparisons, slices và model card; MVP tiếng Việt; ATE chỉ nếu nhãn phù hợp; multi-language unsupported path vẫn có</t>
        </is>
      </c>
      <c r="J90" s="29" t="inlineStr">
        <is>
          <t>PLANNED — chưa nghiệm thu</t>
        </is>
      </c>
    </row>
    <row r="91" ht="62.25" customHeight="1">
      <c r="A91" s="27" t="inlineStr">
        <is>
          <t>EXT-05</t>
        </is>
      </c>
      <c r="B91" s="27" t="inlineStr">
        <is>
          <t>Live production EKS, HA/GPU autoscaling, availability validation</t>
        </is>
      </c>
      <c r="C91" s="27" t="inlineStr">
        <is>
          <t>SRC-02 §14–16; SRC-07 NFR</t>
        </is>
      </c>
      <c r="D91" s="27" t="inlineStr">
        <is>
          <t>M8.2,M8.3,M8.4,M8.5</t>
        </is>
      </c>
      <c r="E91" s="27" t="inlineStr">
        <is>
          <t>MOD-12</t>
        </is>
      </c>
      <c r="F91" s="27" t="inlineStr">
        <is>
          <t>IO-15</t>
        </is>
      </c>
      <c r="G91" s="27" t="inlineStr">
        <is>
          <t>G8</t>
        </is>
      </c>
      <c r="H91" s="27" t="inlineStr">
        <is>
          <t>Conditional resource + sau demo</t>
        </is>
      </c>
      <c r="I91" s="27" t="inlineStr">
        <is>
          <t>Live deploy evidence; sustained SLO; scaling/restore; audited prod approval; IaC minimal + local demo có trong core; live target chưa có evidence không được đóng</t>
        </is>
      </c>
      <c r="J91" s="27" t="inlineStr">
        <is>
          <t>PLANNED — chưa nghiệm thu</t>
        </is>
      </c>
    </row>
    <row r="92" ht="62.25" customHeight="1">
      <c r="A92" s="29" t="inlineStr">
        <is>
          <t>EXT-06</t>
        </is>
      </c>
      <c r="B92" s="29" t="inlineStr">
        <is>
          <t>Real CRM/commerce connectors và real business pilot</t>
        </is>
      </c>
      <c r="C92" s="29" t="inlineStr">
        <is>
          <t>SRC-02 §7.1,8.2,13.5; SRC-03</t>
        </is>
      </c>
      <c r="D92" s="29" t="inlineStr">
        <is>
          <t>M3.2,M8.7</t>
        </is>
      </c>
      <c r="E92" s="29" t="inlineStr">
        <is>
          <t>MOD-12</t>
        </is>
      </c>
      <c r="F92" s="29" t="inlineStr">
        <is>
          <t>IO-15</t>
        </is>
      </c>
      <c r="G92" s="29" t="inlineStr">
        <is>
          <t>G8</t>
        </is>
      </c>
      <c r="H92" s="29" t="inlineStr">
        <is>
          <t>Conditional data access</t>
        </is>
      </c>
      <c r="I92" s="29" t="inlineStr">
        <is>
          <t>Live connector integration, real AHT/FCR/CSAT study; 14 tuần synthetic adapters + instrumentation; KPI business NOT VALIDATED nếu thiếu pilot</t>
        </is>
      </c>
      <c r="J92" s="29" t="inlineStr">
        <is>
          <t>PLANNED — chưa nghiệm thu</t>
        </is>
      </c>
    </row>
    <row r="93" ht="45.75" customHeight="1">
      <c r="A93" s="27" t="inlineStr">
        <is>
          <t>EXT-07</t>
        </is>
      </c>
      <c r="B93" s="27" t="inlineStr">
        <is>
          <t>Multimodal parsers / call transcripts / more channels</t>
        </is>
      </c>
      <c r="C93" s="27" t="inlineStr">
        <is>
          <t>SRC-05 L1; SRC-02 §7.1</t>
        </is>
      </c>
      <c r="D93" s="27" t="inlineStr">
        <is>
          <t>M0.1,M6.9</t>
        </is>
      </c>
      <c r="E93" s="27" t="inlineStr">
        <is>
          <t>MOD-12</t>
        </is>
      </c>
      <c r="F93" s="27" t="inlineStr">
        <is>
          <t>IO-15</t>
        </is>
      </c>
      <c r="G93" s="27" t="inlineStr">
        <is>
          <t>G8</t>
        </is>
      </c>
      <c r="H93" s="27" t="inlineStr">
        <is>
          <t>Deferred theo data need</t>
        </is>
      </c>
      <c r="I93" s="27" t="inlineStr">
        <is>
          <t>Connector/parser schemas, permission and extraction quality report; Không tự thêm kiosk ASR/TTS từ research lịch sử vào core</t>
        </is>
      </c>
      <c r="J93" s="27" t="inlineStr">
        <is>
          <t>PLANNED — chưa nghiệm thu</t>
        </is>
      </c>
    </row>
    <row r="94" ht="62.25" customHeight="1">
      <c r="A94" s="29" t="inlineStr">
        <is>
          <t>EXT-08</t>
        </is>
      </c>
      <c r="B94" s="29" t="inlineStr">
        <is>
          <t>Dedicated annotation platform / large-scale active learning</t>
        </is>
      </c>
      <c r="C94" s="29" t="inlineStr">
        <is>
          <t>SRC-02 §10.5,7.10; SRC-07</t>
        </is>
      </c>
      <c r="D94" s="29" t="inlineStr">
        <is>
          <t>M7.1,M7.2</t>
        </is>
      </c>
      <c r="E94" s="29" t="inlineStr">
        <is>
          <t>MOD-12</t>
        </is>
      </c>
      <c r="F94" s="29" t="inlineStr">
        <is>
          <t>IO-15</t>
        </is>
      </c>
      <c r="G94" s="29" t="inlineStr">
        <is>
          <t>G8</t>
        </is>
      </c>
      <c r="H94" s="29" t="inlineStr">
        <is>
          <t>Deferred sau W14</t>
        </is>
      </c>
      <c r="I94" s="29" t="inlineStr">
        <is>
          <t>Argilla/alternative ADR và migration có evidence; Core giữ workspace/approval/export và một retrain cycle; không bắt cài mọi tool được tham khảo</t>
        </is>
      </c>
      <c r="J94" s="29" t="inlineStr">
        <is>
          <t>PLANNED — chưa nghiệm thu</t>
        </is>
      </c>
    </row>
  </sheetData>
  <autoFilter ref="A4:J94"/>
  <mergeCells count="2">
    <mergeCell ref="A1:J1"/>
    <mergeCell ref="A2:J2"/>
  </mergeCells>
  <hyperlinks>
    <hyperlink ref="A3" location="'Cover Page'!A1" display="← Cover Page"/>
    <hyperlink ref="D5" location="'Task Details'!A37" display="M4.1,M4.5,M4.7"/>
    <hyperlink ref="D6" location="'Task Details'!A13" display="M1.3,M3.3,M3.4"/>
    <hyperlink ref="D7" location="'Task Details'!A54" display="M6.3,M6.4,M6.8"/>
    <hyperlink ref="D8" location="'Task Details'!A20" display="M2.4,M2.8,M3.7,M6.4"/>
    <hyperlink ref="D9" location="'Task Details'!A32" display="M3.6,M7.5"/>
    <hyperlink ref="D10" location="'Task Details'!A31" display="M3.5,M6.4,M6.5"/>
    <hyperlink ref="D11" location="'Task Details'!A13" display="M1.3,M3.3,M6.7"/>
    <hyperlink ref="D12" location="'Task Details'!A31" display="M3.5,M3.6,M7.1"/>
    <hyperlink ref="D13" location="'Task Details'!A31" display="M3.5,M3.7"/>
    <hyperlink ref="D14" location="'Task Details'!A32" display="M3.6,M5.2,M8.7"/>
    <hyperlink ref="D15" location="'Task Details'!A41" display="M4.5,M5.1,M5.4"/>
    <hyperlink ref="D16" location="'Task Details'!A48" display="M5.3,M5.4"/>
    <hyperlink ref="D17" location="'Task Details'!A17" display="M2.1,M5.3"/>
    <hyperlink ref="D18" location="'Task Details'!A43" display="M4.7,M6.5,M7.1"/>
    <hyperlink ref="D19" location="'Task Details'!A57" display="M6.6,M6.7"/>
    <hyperlink ref="D20" location="'Task Details'!A63" display="M7.1,M7.2,M7.5"/>
    <hyperlink ref="D21" location="'Task Details'!A46" display="M5.1,M5.2,M5.4"/>
    <hyperlink ref="D22" location="'Task Details'!A52" display="M6.1,M6.5"/>
    <hyperlink ref="D23" location="'Task Details'!A32" display="M3.6,M5.2,M7.5,M8.7"/>
    <hyperlink ref="D24" location="'Task Details'!A52" display="M6.1,M6.5"/>
    <hyperlink ref="D25" location="'Task Details'!A47" display="M5.2,M5.4,M8.5"/>
    <hyperlink ref="D26" location="'Task Details'!A57" display="M6.6,M6.8"/>
    <hyperlink ref="D27" location="'Task Details'!A13" display="M1.3,M6.6,M6.7"/>
    <hyperlink ref="D28" location="'Task Details'!A57" display="M6.6,M7.1"/>
    <hyperlink ref="D29" location="'Task Details'!A58" display="M6.7,M8.5"/>
    <hyperlink ref="D30" location="'Task Details'!A7" display="M0.3,M7.4,M8.5"/>
    <hyperlink ref="D31" location="'Task Details'!A32" display="M3.6,M6.7,M8.1"/>
    <hyperlink ref="D32" location="'Task Details'!A24" display="M2.8,M3.7,M4.7,M6.8,M8.6"/>
    <hyperlink ref="D33" location="'Task Details'!A31" display="M3.5,M4.7,M6.8,M7.5,M8.6"/>
    <hyperlink ref="D34" location="'Task Details'!A49" display="M5.4,M6.8,M7.5,M8.6"/>
    <hyperlink ref="D35" location="'Task Details'!A47" display="M5.2,M6.5,M8.6,M8.7"/>
    <hyperlink ref="D36" location="'Task Details'!A57" display="M6.6,M6.7,M7.4,M8.6"/>
    <hyperlink ref="D37" location="'Task Details'!A12" display="M1.2,M1.3,M4.5,M4.6"/>
    <hyperlink ref="D38" location="'Task Details'!A30" display="M3.4,M3.7"/>
    <hyperlink ref="D39" location="'Task Details'!A7" display="M0.3,M2.5,M3.2,M3.3,M6.3"/>
    <hyperlink ref="D40" location="'Task Details'!A17" display="M2.1,M2.2,M2.3,M5.3,M6.3"/>
    <hyperlink ref="D41" location="'Task Details'!A30" display="M3.4,M3.8"/>
    <hyperlink ref="D42" location="'Task Details'!A20" display="M2.4,M2.8,M3.7,M6.4,M8.5"/>
    <hyperlink ref="D43" location="'Task Details'!A23" display="M2.7,M7.3,M8.3"/>
    <hyperlink ref="D44" location="'Task Details'!A41" display="M4.5,M5.1"/>
    <hyperlink ref="D45" location="'Task Details'!A24" display="M2.8,M3.4,M6.4"/>
    <hyperlink ref="D46" location="'Task Details'!A7" display="M0.3,M3.3,M4.5,M5.4,M6.1"/>
    <hyperlink ref="D47" location="'Task Details'!A7" display="M0.3,M2.5,M3.4,M4.5,M4.6,M5.3,M7.1"/>
    <hyperlink ref="D48" location="'Task Details'!A7" display="M0.3,M1.1,M3.1,M3.6,M4.5,M6.7"/>
    <hyperlink ref="D49" location="'Task Details'!A12" display="M1.2,M4.5,M4.6"/>
    <hyperlink ref="D50" location="'Task Details'!A13" display="M1.3,M2.5,M3.2,M8.5"/>
    <hyperlink ref="D51" location="'Task Details'!A31" display="M3.5,M6.5,M6.6,M7.1"/>
    <hyperlink ref="D52" location="'Task Details'!A5" display="M0.1,M4.1,M6.6,M7.4,M8.5"/>
    <hyperlink ref="D53" location="'Task Details'!A58" display="M6.7,M8.1,M8.5"/>
    <hyperlink ref="D54" location="'Task Details'!A7" display="M0.3,M4.5,M8.2,M8.4"/>
    <hyperlink ref="D55" location="'Task Details'!A71" display="M8.2,M8.5"/>
    <hyperlink ref="D56" location="'Task Details'!A23" display="M2.7,M6.7,M8.4,M8.5,M8.8"/>
    <hyperlink ref="D57" location="'Task Details'!A8" display="M0.4,M2.8,M3.7,M4.4,M5.4,M6.8,M7.5,M8.1,M8.6"/>
    <hyperlink ref="D58" location="'Task Details'!A37" display="M4.1,M4.2,M4.3,M4.4"/>
    <hyperlink ref="D59" location="'Task Details'!A18" display="M2.2,M2.3,M5.3,M6.8"/>
    <hyperlink ref="D60" location="'Task Details'!A52" display="M6.1,M6.2,M6.7,M6.8"/>
    <hyperlink ref="D61" location="'Task Details'!A24" display="M2.8,M3.7,M6.8,M8.6"/>
    <hyperlink ref="D62" location="'Task Details'!A23" display="M2.7,M7.3,M8.3,M8.4"/>
    <hyperlink ref="D63" location="'Task Details'!A8" display="M0.4,M3.6,M5.2,M8.7"/>
    <hyperlink ref="D64" location="'Task Details'!A75" display="M8.6,M8.8"/>
    <hyperlink ref="D65" location="'Task Details'!A38" display="M4.2,M4.7"/>
    <hyperlink ref="D66" location="'Task Details'!A38" display="M4.2,M4.5"/>
    <hyperlink ref="D67" location="'Task Details'!A38" display="M4.2"/>
    <hyperlink ref="D68" location="'Task Details'!A41" display="M4.5"/>
    <hyperlink ref="D69" location="'Task Details'!A40" display="M4.4"/>
    <hyperlink ref="D70" location="'Task Details'!A40" display="M4.4"/>
    <hyperlink ref="D71" location="'Task Details'!A40" display="M4.4,M8.4"/>
    <hyperlink ref="D72" location="'Task Details'!A13" display="M1.3,M8.5"/>
    <hyperlink ref="D73" location="'Task Details'!A41" display="M4.5,M5.1"/>
    <hyperlink ref="D74" location="'Task Details'!A38" display="M4.2,M4.6"/>
    <hyperlink ref="D75" location="'Task Details'!A17" display="M2.1"/>
    <hyperlink ref="D76" location="'Task Details'!A48" display="M5.3"/>
    <hyperlink ref="D77" location="'Task Details'!A18" display="M2.2,M5.3"/>
    <hyperlink ref="D78" location="'Task Details'!A48" display="M5.3"/>
    <hyperlink ref="D79" location="'Task Details'!A17" display="M2.1,M6.8"/>
    <hyperlink ref="D80" location="'Task Details'!A20" display="M2.4"/>
    <hyperlink ref="D81" location="'Task Details'!A73" display="M8.4"/>
    <hyperlink ref="D82" location="'Task Details'!A19" display="M2.3"/>
    <hyperlink ref="D83" location="'Task Details'!A17" display="M2.1,M6.7"/>
    <hyperlink ref="D84" location="'Task Details'!A70" display="M8.1"/>
    <hyperlink ref="D85" location="'Task Details'!A13" display="M1.3,M8.5"/>
    <hyperlink ref="D86" location="'Task Details'!A17" display="M2.1,M2.7"/>
    <hyperlink ref="D87" location="'Task Details'!A60" display="M6.9"/>
    <hyperlink ref="D88" location="'Task Details'!A60" display="M6.9"/>
    <hyperlink ref="D89" location="'Task Details'!A34" display="M3.8,M6.9"/>
    <hyperlink ref="D90" location="'Task Details'!A37" display="M4.1,M6.9"/>
    <hyperlink ref="D91" location="'Task Details'!A71" display="M8.2,M8.3,M8.4,M8.5"/>
    <hyperlink ref="D92" location="'Task Details'!A28" display="M3.2,M8.7"/>
    <hyperlink ref="D93" location="'Task Details'!A5" display="M0.1,M6.9"/>
    <hyperlink ref="D94" location="'Task Details'!A63" display="M7.1,M7.2"/>
  </hyperlinks>
  <pageMargins left="0.7" right="0.7" top="0.75" bottom="0.75" header="0.3" footer="0.3"/>
  <pageSetup orientation="landscape" paperSize="8" fitToHeight="0"/>
  <headerFooter>
    <oddHeader/>
    <oddFooter>&amp;CSenticRAG | Kế hoạch triển khai |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FF087E8B"/>
    <outlinePr summaryBelow="1" summaryRight="1"/>
    <pageSetUpPr fitToPage="1"/>
  </sheetPr>
  <dimension ref="A1:J31"/>
  <sheetViews>
    <sheetView showGridLines="0" zoomScale="85" zoomScaleNormal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.7109375" customWidth="1" min="1" max="1"/>
    <col width="45.7109375" customWidth="1" min="2" max="2"/>
    <col width="22.7109375" customWidth="1" min="3" max="3"/>
    <col width="90.7109375" customWidth="1" min="4" max="4"/>
    <col width="85.7109375" customWidth="1" min="5" max="5"/>
    <col width="65.7109375" customWidth="1" min="6" max="6"/>
    <col width="45.7109375" customWidth="1" min="7" max="7"/>
    <col width="32.7109375" customWidth="1" min="8" max="8"/>
    <col width="90.7109375" customWidth="1" min="9" max="9"/>
    <col width="22.7109375" customWidth="1" min="10" max="10"/>
  </cols>
  <sheetData>
    <row r="1" ht="36" customHeight="1">
      <c r="A1" s="7" t="inlineStr">
        <is>
          <t>ACCEPTANCE GATES | đo thế nào, bằng chứng nào</t>
        </is>
      </c>
    </row>
    <row r="2" ht="36" customHeight="1">
      <c r="A2" s="8" t="inlineStr">
        <is>
          <t>Các chỉ tiêu là target/giả định từ tài liệu hoặc đề xuất, chưa được đo trong lượt lập kế hoạch. Gate fail không được đóng do hết thời gian; NOT RUN không phải PASS.</t>
        </is>
      </c>
    </row>
    <row r="3">
      <c r="A3" s="9" t="inlineStr">
        <is>
          <t>← Cover Page</t>
        </is>
      </c>
    </row>
    <row r="4" ht="33.75" customHeight="1">
      <c r="A4" s="26" t="inlineStr">
        <is>
          <t>Gate / Metric</t>
        </is>
      </c>
      <c r="B4" s="26" t="inlineStr">
        <is>
          <t>Nội dung</t>
        </is>
      </c>
      <c r="C4" s="26" t="inlineStr">
        <is>
          <t>Giai đoạn</t>
        </is>
      </c>
      <c r="D4" s="26" t="inlineStr">
        <is>
          <t>Ngưỡng / tiêu chí</t>
        </is>
      </c>
      <c r="E4" s="26" t="inlineStr">
        <is>
          <t>Phương pháp đo</t>
        </is>
      </c>
      <c r="F4" s="26" t="inlineStr">
        <is>
          <t>Bằng chứng</t>
        </is>
      </c>
      <c r="G4" s="26" t="inlineStr">
        <is>
          <t>Nguồn</t>
        </is>
      </c>
      <c r="H4" s="26" t="inlineStr">
        <is>
          <t>Loại chỉ tiêu</t>
        </is>
      </c>
      <c r="I4" s="26" t="inlineStr">
        <is>
          <t>Giới hạn / lưu ý</t>
        </is>
      </c>
      <c r="J4" s="26" t="inlineStr">
        <is>
          <t>Kết quả hiện tại</t>
        </is>
      </c>
    </row>
    <row r="5" ht="109.98" customHeight="1">
      <c r="A5" s="27" t="inlineStr">
        <is>
          <t>G0</t>
        </is>
      </c>
      <c r="B5" s="27" t="inlineStr">
        <is>
          <t>Thiết kế chatbot và khóa phạm vi</t>
        </is>
      </c>
      <c r="C5" s="27" t="inlineStr">
        <is>
          <t>M0</t>
        </is>
      </c>
      <c r="D5" s="27" t="inlineStr">
        <is>
          <t>G0: khóa I/O, ADR, profile demo/architecture-target và ngưỡng eval; rà lại effort M0.4/M3.4/M4.5/M6.7/M8.2 theo smoke thực. Lịch 14 tuần là baseline, chưa chứng minh feasibility; thiếu resource/effort phải ghi blocker hoặc rebaseline.</t>
        </is>
      </c>
      <c r="E5" s="27" t="inlineStr">
        <is>
          <t>Review all preceding phase tasks + demo + regression + source coverage</t>
        </is>
      </c>
      <c r="F5" s="27" t="inlineStr">
        <is>
          <t>docs/reports/milestones/m0-review.md; checklist; demo; manifest phiên bản</t>
        </is>
      </c>
      <c r="G5" s="27" t="inlineStr">
        <is>
          <t>SRC-02 §21; SRC-03; SRC-04</t>
        </is>
      </c>
      <c r="H5" s="27" t="inlineStr">
        <is>
          <t>Gate bàn giao</t>
        </is>
      </c>
      <c r="I5" s="27" t="inlineStr">
        <is>
          <t>Một người tự review theo checklist; external acceptance cần người được ủy quyền nếu áp dụng.</t>
        </is>
      </c>
      <c r="J5" s="27" t="inlineStr">
        <is>
          <t>NOT RUN</t>
        </is>
      </c>
    </row>
    <row r="6" ht="45.75" customHeight="1">
      <c r="A6" s="29" t="inlineStr">
        <is>
          <t>G1</t>
        </is>
      </c>
      <c r="B6" s="29" t="inlineStr">
        <is>
          <t>Chuẩn hóa dữ liệu chính sách cho chatbot</t>
        </is>
      </c>
      <c r="C6" s="29" t="inlineStr">
        <is>
          <t>M1</t>
        </is>
      </c>
      <c r="D6" s="29" t="inlineStr">
        <is>
          <t>G1: 5–10 policies/~30 clauses đã duyệt, truy nguồn đầy đủ; 40 queries + 20 hội thoại; privacy fixtures; ingestion idempotent.</t>
        </is>
      </c>
      <c r="E6" s="29" t="inlineStr">
        <is>
          <t>Review all preceding phase tasks + demo + regression + source coverage</t>
        </is>
      </c>
      <c r="F6" s="29" t="inlineStr">
        <is>
          <t>docs/reports/milestones/m1-review.md; checklist; demo; manifest phiên bản</t>
        </is>
      </c>
      <c r="G6" s="29" t="inlineStr">
        <is>
          <t>SRC-06; SRC-10; SRC-04</t>
        </is>
      </c>
      <c r="H6" s="29" t="inlineStr">
        <is>
          <t>Gate bàn giao</t>
        </is>
      </c>
      <c r="I6" s="29" t="inlineStr">
        <is>
          <t>Một người tự review theo checklist; external acceptance cần người được ủy quyền nếu áp dụng.</t>
        </is>
      </c>
      <c r="J6" s="29" t="inlineStr">
        <is>
          <t>NOT RUN</t>
        </is>
      </c>
    </row>
    <row r="7" ht="115.62" customHeight="1">
      <c r="A7" s="27" t="inlineStr">
        <is>
          <t>G2</t>
        </is>
      </c>
      <c r="B7" s="27" t="inlineStr">
        <is>
          <t>Chatbot RAG đầu tiên chạy xuyên suốt</t>
        </is>
      </c>
      <c r="C7" s="27" t="inlineStr">
        <is>
          <t>M2</t>
        </is>
      </c>
      <c r="D7" s="27" t="inlineStr">
        <is>
          <t>G2: chatbot UI→API→retrieval→LLM→citations chạy thật; multi-turn/fallback/privacy, claim/schema/policy/output filter và rate-limit/quota pass; benchmark retrieval/generation riêng. Chưa có ABSA/GraphRAG không được gọi hoàn thành full Buyer story.</t>
        </is>
      </c>
      <c r="E7" s="27" t="inlineStr">
        <is>
          <t>Review all preceding phase tasks + demo + regression + source coverage</t>
        </is>
      </c>
      <c r="F7" s="27" t="inlineStr">
        <is>
          <t>docs/reports/milestones/m2-review.md; checklist; demo; manifest phiên bản</t>
        </is>
      </c>
      <c r="G7" s="27" t="inlineStr">
        <is>
          <t>SRC-03 US-BUY-01; SRC-04; SRC-02 §21</t>
        </is>
      </c>
      <c r="H7" s="27" t="inlineStr">
        <is>
          <t>Gate bàn giao</t>
        </is>
      </c>
      <c r="I7" s="27" t="inlineStr">
        <is>
          <t>Một người tự review theo checklist; external acceptance cần người được ủy quyền nếu áp dụng.</t>
        </is>
      </c>
      <c r="J7" s="27" t="inlineStr">
        <is>
          <t>NOT RUN</t>
        </is>
      </c>
    </row>
    <row r="8" ht="45.75" customHeight="1">
      <c r="A8" s="29" t="inlineStr">
        <is>
          <t>G3</t>
        </is>
      </c>
      <c r="B8" s="29" t="inlineStr">
        <is>
          <t>Chatbot theo đơn hàng và Copilot CSKH</t>
        </is>
      </c>
      <c r="C8" s="29" t="inlineStr">
        <is>
          <t>M3</t>
        </is>
      </c>
      <c r="D8" s="29" t="inlineStr">
        <is>
          <t>G3: order ownership + deterministic policy + agent review/outcome pass; restart/resume/idempotency và ba MCP tools qua protocol có evidence; điều kiện thiếu được hỏi lại; có ticket tới specialist thật trong app.</t>
        </is>
      </c>
      <c r="E8" s="29" t="inlineStr">
        <is>
          <t>Review all preceding phase tasks + demo + regression + source coverage</t>
        </is>
      </c>
      <c r="F8" s="29" t="inlineStr">
        <is>
          <t>docs/reports/milestones/m3-review.md; checklist; demo; manifest phiên bản</t>
        </is>
      </c>
      <c r="G8" s="29" t="inlineStr">
        <is>
          <t>SRC-02 BUY-AC-02..05; AG-AC-01..05; SRC-04</t>
        </is>
      </c>
      <c r="H8" s="29" t="inlineStr">
        <is>
          <t>Gate bàn giao</t>
        </is>
      </c>
      <c r="I8" s="29" t="inlineStr">
        <is>
          <t>Một người tự review theo checklist; external acceptance cần người được ủy quyền nếu áp dụng.</t>
        </is>
      </c>
      <c r="J8" s="29" t="inlineStr">
        <is>
          <t>NOT RUN</t>
        </is>
      </c>
    </row>
    <row r="9" ht="128.31" customHeight="1">
      <c r="A9" s="27" t="inlineStr">
        <is>
          <t>G4</t>
        </is>
      </c>
      <c r="B9" s="27" t="inlineStr">
        <is>
          <t>ABSA và ingestion toàn corpus</t>
        </is>
      </c>
      <c r="C9" s="27" t="inlineStr">
        <is>
          <t>M4</t>
        </is>
      </c>
      <c r="D9" s="27" t="inlineStr">
        <is>
          <t>G4: accepted=processed+pending+failed với lý do; coverage inference báo processed/accepted riêng; outbox/retry/ack fault tests pass; triage/corrections hoạt động. Demo gate và architecture-target ABSA/ATE báo riêng theo DEC-18; thiếu ATE không thành full architecture PASS.</t>
        </is>
      </c>
      <c r="E9" s="27" t="inlineStr">
        <is>
          <t>Review all preceding phase tasks + demo + regression + source coverage</t>
        </is>
      </c>
      <c r="F9" s="27" t="inlineStr">
        <is>
          <t>docs/reports/milestones/m4-review.md; checklist; demo; manifest phiên bản</t>
        </is>
      </c>
      <c r="G9" s="27" t="inlineStr">
        <is>
          <t>SRC-04; SRC-06 §3; SRC-07 ABSA</t>
        </is>
      </c>
      <c r="H9" s="27" t="inlineStr">
        <is>
          <t>Gate bàn giao</t>
        </is>
      </c>
      <c r="I9" s="27" t="inlineStr">
        <is>
          <t>Một người tự review theo checklist; external acceptance cần người được ủy quyền nếu áp dụng.</t>
        </is>
      </c>
      <c r="J9" s="27" t="inlineStr">
        <is>
          <t>NOT RUN</t>
        </is>
      </c>
    </row>
    <row r="10" ht="45.75" customHeight="1">
      <c r="A10" s="29" t="inlineStr">
        <is>
          <t>G5</t>
        </is>
      </c>
      <c r="B10" s="29" t="inlineStr">
        <is>
          <t>Dashboard toàn corpus và điều tra bằng evidence</t>
        </is>
      </c>
      <c r="C10" s="29" t="inlineStr">
        <is>
          <t>M5</t>
        </is>
      </c>
      <c r="D10" s="29" t="inlineStr">
        <is>
          <t>G5: dashboard từ corpus đầy đủ → filtered evidence có thể tái lập; số liệu không lấy từ mock; có freshness và denominator.</t>
        </is>
      </c>
      <c r="E10" s="29" t="inlineStr">
        <is>
          <t>Review all preceding phase tasks + demo + regression + source coverage</t>
        </is>
      </c>
      <c r="F10" s="29" t="inlineStr">
        <is>
          <t>docs/reports/milestones/m5-review.md; checklist; demo; manifest phiên bản</t>
        </is>
      </c>
      <c r="G10" s="29" t="inlineStr">
        <is>
          <t>SRC-02 AN-AC-01..03; SRC-03 US-PM-01</t>
        </is>
      </c>
      <c r="H10" s="29" t="inlineStr">
        <is>
          <t>Gate bàn giao</t>
        </is>
      </c>
      <c r="I10" s="29" t="inlineStr">
        <is>
          <t>Một người tự review theo checklist; external acceptance cần người được ủy quyền nếu áp dụng.</t>
        </is>
      </c>
      <c r="J10" s="29" t="inlineStr">
        <is>
          <t>NOT RUN</t>
        </is>
      </c>
    </row>
    <row r="11" ht="45.75" customHeight="1">
      <c r="A11" s="27" t="inlineStr">
        <is>
          <t>G6</t>
        </is>
      </c>
      <c r="B11" s="27" t="inlineStr">
        <is>
          <t>GraphRAG và quản trị tri thức</t>
        </is>
      </c>
      <c r="C11" s="27" t="inlineStr">
        <is>
          <t>M6</t>
        </is>
      </c>
      <c r="D11" s="27" t="inlineStr">
        <is>
          <t>G6: quant→qual→proposed→review→publish→new ticket có bằng chứng; release manifest pin policy/graph/index, crash/reconcile và rollback pass; chưa xác nhận không được khẳng định.</t>
        </is>
      </c>
      <c r="E11" s="27" t="inlineStr">
        <is>
          <t>Review all preceding phase tasks + demo + regression + source coverage</t>
        </is>
      </c>
      <c r="F11" s="27" t="inlineStr">
        <is>
          <t>docs/reports/milestones/m6-review.md; checklist; demo; manifest phiên bản</t>
        </is>
      </c>
      <c r="G11" s="27" t="inlineStr">
        <is>
          <t>SRC-02 AN-AC-04..06; §3.5,19; SRC-04</t>
        </is>
      </c>
      <c r="H11" s="27" t="inlineStr">
        <is>
          <t>Gate bàn giao</t>
        </is>
      </c>
      <c r="I11" s="27" t="inlineStr">
        <is>
          <t>Một người tự review theo checklist; external acceptance cần người được ủy quyền nếu áp dụng.</t>
        </is>
      </c>
      <c r="J11" s="27" t="inlineStr">
        <is>
          <t>NOT RUN</t>
        </is>
      </c>
    </row>
    <row r="12" ht="45.75" customHeight="1">
      <c r="A12" s="29" t="inlineStr">
        <is>
          <t>G7</t>
        </is>
      </c>
      <c r="B12" s="29" t="inlineStr">
        <is>
          <t>Closed-loop feedback và cải thiện mô hình</t>
        </is>
      </c>
      <c r="C12" s="29" t="inlineStr">
        <is>
          <t>M7</t>
        </is>
      </c>
      <c r="D12" s="29" t="inlineStr">
        <is>
          <t>G7: sửa nhãn/tri thức→duyệt→dataset/model/knowledge version→đánh giá→publish hoặc reject được chạy và truy vết.</t>
        </is>
      </c>
      <c r="E12" s="29" t="inlineStr">
        <is>
          <t>Review all preceding phase tasks + demo + regression + source coverage</t>
        </is>
      </c>
      <c r="F12" s="29" t="inlineStr">
        <is>
          <t>docs/reports/milestones/m7-review.md; checklist; demo; manifest phiên bản</t>
        </is>
      </c>
      <c r="G12" s="29" t="inlineStr">
        <is>
          <t>SRC-02 §7.10,21; SRC-04</t>
        </is>
      </c>
      <c r="H12" s="29" t="inlineStr">
        <is>
          <t>Gate bàn giao</t>
        </is>
      </c>
      <c r="I12" s="29" t="inlineStr">
        <is>
          <t>Một người tự review theo checklist; external acceptance cần người được ủy quyền nếu áp dụng.</t>
        </is>
      </c>
      <c r="J12" s="29" t="inlineStr">
        <is>
          <t>NOT RUN</t>
        </is>
      </c>
    </row>
    <row r="13" ht="45.75" customHeight="1">
      <c r="A13" s="27" t="inlineStr">
        <is>
          <t>G8</t>
        </is>
      </c>
      <c r="B13" s="27" t="inlineStr">
        <is>
          <t>Tích hợp, vận hành và bàn giao</t>
        </is>
      </c>
      <c r="C13" s="27" t="inlineStr">
        <is>
          <t>M8</t>
        </is>
      </c>
      <c r="D13" s="27" t="inlineStr">
        <is>
          <t>G8: demo 5 stories + quality/data/governance/release evidence; đánh giá riêng core demo, target quality, cloud và business validation; còn thiếu ghi OPEN.</t>
        </is>
      </c>
      <c r="E13" s="27" t="inlineStr">
        <is>
          <t>Review all preceding phase tasks + demo + regression + source coverage</t>
        </is>
      </c>
      <c r="F13" s="27" t="inlineStr">
        <is>
          <t>docs/reports/milestones/m8-review.md; checklist; demo; manifest phiên bản</t>
        </is>
      </c>
      <c r="G13" s="27" t="inlineStr">
        <is>
          <t>SRC-02 §21; SRC-03; SRC-04; SRC-07</t>
        </is>
      </c>
      <c r="H13" s="27" t="inlineStr">
        <is>
          <t>Gate bàn giao</t>
        </is>
      </c>
      <c r="I13" s="27" t="inlineStr">
        <is>
          <t>Một người tự review theo checklist; external acceptance cần người được ủy quyền nếu áp dụng.</t>
        </is>
      </c>
      <c r="J13" s="27" t="inlineStr">
        <is>
          <t>NOT RUN</t>
        </is>
      </c>
    </row>
    <row r="14" ht="35.25" customHeight="1">
      <c r="A14" s="29" t="inlineStr">
        <is>
          <t>Q-01</t>
        </is>
      </c>
      <c r="B14" s="29" t="inlineStr">
        <is>
          <t>Chatbot policy QA rubric</t>
        </is>
      </c>
      <c r="C14" s="29" t="inlineStr">
        <is>
          <t>M2/M8</t>
        </is>
      </c>
      <c r="D14" s="29" t="inlineStr">
        <is>
          <t>≥90% trên held-out policy QA (đề xuất MVP)</t>
        </is>
      </c>
      <c r="E14" s="29" t="inlineStr">
        <is>
          <t>Human rubric correctness/relevance/helpfulness; report n and failure reasons</t>
        </is>
      </c>
      <c r="F14" s="29" t="inlineStr">
        <is>
          <t>chatbot_mvp_eval report</t>
        </is>
      </c>
      <c r="G14" s="29" t="inlineStr">
        <is>
          <t>Đề xuất mới cho G2</t>
        </is>
      </c>
      <c r="H14" s="29" t="inlineStr">
        <is>
          <t>Đề xuất cần khóa G0</t>
        </is>
      </c>
      <c r="I14" s="29" t="inlineStr">
        <is>
          <t>Chưa đo; không phải kết quả hiện tại</t>
        </is>
      </c>
      <c r="J14" s="29" t="inlineStr">
        <is>
          <t>NOT RUN</t>
        </is>
      </c>
    </row>
    <row r="15" ht="45.75" customHeight="1">
      <c r="A15" s="27" t="inlineStr">
        <is>
          <t>Q-02</t>
        </is>
      </c>
      <c r="B15" s="27" t="inlineStr">
        <is>
          <t>Citation completeness/precision</t>
        </is>
      </c>
      <c r="C15" s="27" t="inlineStr">
        <is>
          <t>M2/M3/M6/M8</t>
        </is>
      </c>
      <c r="D15" s="27" t="inlineStr">
        <is>
          <t>Completeness chung ≥95%; 100% policy/action claim có citation; báo precision riêng</t>
        </is>
      </c>
      <c r="E15" s="27" t="inlineStr">
        <is>
          <t>Claim-level annotated rubric + source resolver; valid URL alone không chứng minh entailment</t>
        </is>
      </c>
      <c r="F15" s="27" t="inlineStr">
        <is>
          <t>citation evaluation</t>
        </is>
      </c>
      <c r="G15" s="27" t="inlineStr">
        <is>
          <t>SRC-05 §9; SRC-04; DEC-04</t>
        </is>
      </c>
      <c r="H15" s="27" t="inlineStr">
        <is>
          <t>Target tài liệu</t>
        </is>
      </c>
      <c r="I15" s="27" t="inlineStr">
        <is>
          <t>Chưa đo; không phải kết quả hiện tại</t>
        </is>
      </c>
      <c r="J15" s="27" t="inlineStr">
        <is>
          <t>NOT RUN</t>
        </is>
      </c>
    </row>
    <row r="16" ht="45.75" customHeight="1">
      <c r="A16" s="29" t="inlineStr">
        <is>
          <t>Q-03</t>
        </is>
      </c>
      <c r="B16" s="29" t="inlineStr">
        <is>
          <t>Unsupported policy/refund/action</t>
        </is>
      </c>
      <c r="C16" s="29" t="inlineStr">
        <is>
          <t>M3/M6/M8</t>
        </is>
      </c>
      <c r="D16" s="29" t="inlineStr">
        <is>
          <t>0 unsupported policy/refund commitments trên critical suite; báo generic rate riêng</t>
        </is>
      </c>
      <c r="E16" s="29" t="inlineStr">
        <is>
          <t>≥50 resolution cases; invalid eligibility/expired/unconfirmed/injection</t>
        </is>
      </c>
      <c r="F16" s="29" t="inlineStr">
        <is>
          <t>resolution_eval report</t>
        </is>
      </c>
      <c r="G16" s="29" t="inlineStr">
        <is>
          <t>SRC-04; SRC-06 §6; DEC-04</t>
        </is>
      </c>
      <c r="H16" s="29" t="inlineStr">
        <is>
          <t>Target tài liệu</t>
        </is>
      </c>
      <c r="I16" s="29" t="inlineStr">
        <is>
          <t>Chưa đo; không phải kết quả hiện tại</t>
        </is>
      </c>
      <c r="J16" s="29" t="inlineStr">
        <is>
          <t>NOT RUN</t>
        </is>
      </c>
    </row>
    <row r="17" ht="45.75" customHeight="1">
      <c r="A17" s="27" t="inlineStr">
        <is>
          <t>Q-04</t>
        </is>
      </c>
      <c r="B17" s="27" t="inlineStr">
        <is>
          <t>PII and customer isolation</t>
        </is>
      </c>
      <c r="C17" s="27" t="inlineStr">
        <is>
          <t>M1/M2/M3/M8</t>
        </is>
      </c>
      <c r="D17" s="27" t="inlineStr">
        <is>
          <t>0 raw leaks/unauthorized accesses trên suite; phone/email recall=100% trên labeled fixtures</t>
        </is>
      </c>
      <c r="E17" s="27" t="inlineStr">
        <is>
          <t>≥500 synthetic/redaction fixtures; inspect prompts/index/logs; cross-customer/role tests</t>
        </is>
      </c>
      <c r="F17" s="27" t="inlineStr">
        <is>
          <t>privacy/access report</t>
        </is>
      </c>
      <c r="G17" s="27" t="inlineStr">
        <is>
          <t>SRC-06 §2; SRC-04</t>
        </is>
      </c>
      <c r="H17" s="27" t="inlineStr">
        <is>
          <t>Target tài liệu</t>
        </is>
      </c>
      <c r="I17" s="27" t="inlineStr">
        <is>
          <t>Suite pass không bảo đảm mọi đầu vào production; name/address slices và limits phải báo.</t>
        </is>
      </c>
      <c r="J17" s="27" t="inlineStr">
        <is>
          <t>NOT RUN</t>
        </is>
      </c>
    </row>
    <row r="18" ht="45.75" customHeight="1">
      <c r="A18" s="29" t="inlineStr">
        <is>
          <t>Q-05</t>
        </is>
      </c>
      <c r="B18" s="29" t="inlineStr">
        <is>
          <t>FRT and response latency</t>
        </is>
      </c>
      <c r="C18" s="29" t="inlineStr">
        <is>
          <t>M2/M8</t>
        </is>
      </c>
      <c r="D18" s="29" t="inlineStr">
        <is>
          <t>Standard full-response cases &lt;60s; &lt;30s stretch; báo TTFT/p95/p99 riêng</t>
        </is>
      </c>
      <c r="E18" s="29" t="inlineStr">
        <is>
          <t>Warm/cold, hardware/corpus/concurrency pin; useful response time vs full response defined</t>
        </is>
      </c>
      <c r="F18" s="29" t="inlineStr">
        <is>
          <t>latency report</t>
        </is>
      </c>
      <c r="G18" s="29" t="inlineStr">
        <is>
          <t>SRC-03; SRC-04; SRC-05 §5.2; DEC-03</t>
        </is>
      </c>
      <c r="H18" s="29" t="inlineStr">
        <is>
          <t>Target tài liệu</t>
        </is>
      </c>
      <c r="I18" s="29" t="inlineStr">
        <is>
          <t>Chưa đo; không phải kết quả hiện tại</t>
        </is>
      </c>
      <c r="J18" s="29" t="inlineStr">
        <is>
          <t>NOT RUN</t>
        </is>
      </c>
    </row>
    <row r="19" ht="45.75" customHeight="1">
      <c r="A19" s="27" t="inlineStr">
        <is>
          <t>Q-06</t>
        </is>
      </c>
      <c r="B19" s="27" t="inlineStr">
        <is>
          <t>Retrieval quality</t>
        </is>
      </c>
      <c r="C19" s="27" t="inlineStr">
        <is>
          <t>M2 baseline/M5/M6 final</t>
        </is>
      </c>
      <c r="D19" s="27" t="inlineStr">
        <is>
          <t>Recall@5 ≥.88; MRR ≥.82; Recall@10 ≥.85; nDCG@10 ≥.75</t>
        </is>
      </c>
      <c r="E19" s="27" t="inlineStr">
        <is>
          <t>≥100 golden queries final, separate policy/review/graph slices; paired modes/corpus; count queries and relevance grading</t>
        </is>
      </c>
      <c r="F19" s="27" t="inlineStr">
        <is>
          <t>retrieval benchmark matrix</t>
        </is>
      </c>
      <c r="G19" s="27" t="inlineStr">
        <is>
          <t>SRC-05 §9; SRC-06 §4</t>
        </is>
      </c>
      <c r="H19" s="27" t="inlineStr">
        <is>
          <t>Target tài liệu</t>
        </is>
      </c>
      <c r="I19" s="27" t="inlineStr">
        <is>
          <t>M2 40-query baseline chưa đại diện final corpus; threshold shortfall=FAIL/limited demo, không claim achieved.</t>
        </is>
      </c>
      <c r="J19" s="27" t="inlineStr">
        <is>
          <t>NOT RUN</t>
        </is>
      </c>
    </row>
    <row r="20" ht="45.75" customHeight="1">
      <c r="A20" s="29" t="inlineStr">
        <is>
          <t>Q-07</t>
        </is>
      </c>
      <c r="B20" s="29" t="inlineStr">
        <is>
          <t>Filter correctness/source integrity</t>
        </is>
      </c>
      <c r="C20" s="29" t="inlineStr">
        <is>
          <t>M2/M5/M6</t>
        </is>
      </c>
      <c r="D20" s="29" t="inlineStr">
        <is>
          <t>100% authorized filter correctness and source ID resolution on tests</t>
        </is>
      </c>
      <c r="E20" s="29" t="inlineStr">
        <is>
          <t>Test date/product/version/aspect-polarity/tenant/approved policy; missing docs and empty cohort</t>
        </is>
      </c>
      <c r="F20" s="29" t="inlineStr">
        <is>
          <t>filter/source report</t>
        </is>
      </c>
      <c r="G20" s="29" t="inlineStr">
        <is>
          <t>SRC-06 §4; SRC-07 RET-AC</t>
        </is>
      </c>
      <c r="H20" s="29" t="inlineStr">
        <is>
          <t>Target tài liệu</t>
        </is>
      </c>
      <c r="I20" s="29" t="inlineStr">
        <is>
          <t>Chưa đo; không phải kết quả hiện tại</t>
        </is>
      </c>
      <c r="J20" s="29" t="inlineStr">
        <is>
          <t>NOT RUN</t>
        </is>
      </c>
    </row>
    <row r="21" ht="45.75" customHeight="1">
      <c r="A21" s="27" t="inlineStr">
        <is>
          <t>Q-08</t>
        </is>
      </c>
      <c r="B21" s="27" t="inlineStr">
        <is>
          <t>ABSA classification</t>
        </is>
      </c>
      <c r="C21" s="27" t="inlineStr">
        <is>
          <t>M4/M8</t>
        </is>
      </c>
      <c r="D21" s="27" t="inlineStr">
        <is>
          <t>Demo classification Macro-F1 ≥.80, critical per-aspect ≥.75 nếu khóa G0; architecture-target classification/polarity ≥.85, đánh giá ATE riêng Q-09</t>
        </is>
      </c>
      <c r="E21" s="27" t="inlineStr">
        <is>
          <t>Fixed test split; baseline vs candidate; macro/per-aspect confusion/slices; state class averaging explicitly</t>
        </is>
      </c>
      <c r="F21" s="27" t="inlineStr">
        <is>
          <t>ABSA eval + model card</t>
        </is>
      </c>
      <c r="G21" s="27" t="inlineStr">
        <is>
          <t>SRC-05 §9.1; SRC-06 §3; SRC-04; DEC-05; DEC-18</t>
        </is>
      </c>
      <c r="H21" s="27" t="inlineStr">
        <is>
          <t>Target tài liệu</t>
        </is>
      </c>
      <c r="I21" s="27" t="inlineStr">
        <is>
          <t>Chưa đo; không phải kết quả hiện tại</t>
        </is>
      </c>
      <c r="J21" s="27" t="inlineStr">
        <is>
          <t>NOT RUN</t>
        </is>
      </c>
    </row>
    <row r="22" ht="45.75" customHeight="1">
      <c r="A22" s="29" t="inlineStr">
        <is>
          <t>Q-09</t>
        </is>
      </c>
      <c r="B22" s="29" t="inlineStr">
        <is>
          <t>ATE/entity/calibration</t>
        </is>
      </c>
      <c r="C22" s="29" t="inlineStr">
        <is>
          <t>M4/M8</t>
        </is>
      </c>
      <c r="D22" s="29" t="inlineStr">
        <is>
          <t>Architecture-target ATE F1 ≥.85 (SRC-05 §9.1); khóa span matching/averaging và tách polarity, entities, ECE tại G0; thiếu span test → NOT VALIDATED</t>
        </is>
      </c>
      <c r="E22" s="29" t="inlineStr">
        <is>
          <t>ATE chỉ trên span labels; polarity metric riêng; calibration fitted dev; report slang/negation/emoji slices</t>
        </is>
      </c>
      <c r="F22" s="29" t="inlineStr">
        <is>
          <t>span/calibration report</t>
        </is>
      </c>
      <c r="G22" s="29" t="inlineStr">
        <is>
          <t>SRC-05 §9.1; SRC-02 §13.1; SRC-06 §3; SRC-07; DEC-18</t>
        </is>
      </c>
      <c r="H22" s="29" t="inlineStr">
        <is>
          <t>Target cần dữ liệu</t>
        </is>
      </c>
      <c r="I22" s="29" t="inlineStr">
        <is>
          <t>Không đánh đồng F1 category/polarity với span extraction; thiếu span test=NOT VALIDATED.</t>
        </is>
      </c>
      <c r="J22" s="29" t="inlineStr">
        <is>
          <t>NOT RUN</t>
        </is>
      </c>
    </row>
    <row r="23" ht="45.75" customHeight="1">
      <c r="A23" s="27" t="inlineStr">
        <is>
          <t>Q-10</t>
        </is>
      </c>
      <c r="B23" s="27" t="inlineStr">
        <is>
          <t>Corpus and BI lineage</t>
        </is>
      </c>
      <c r="C23" s="27" t="inlineStr">
        <is>
          <t>M4/M5</t>
        </is>
      </c>
      <c r="D23" s="27" t="inlineStr">
        <is>
          <t>100% eligible ingested records accounted; processed/pending/failed tổng khớp accepted</t>
        </is>
      </c>
      <c r="E23" s="27" t="inlineStr">
        <is>
          <t>SQL counts independent; one selected model per record; denominator integrity; no top-k aggregation</t>
        </is>
      </c>
      <c r="F23" s="27" t="inlineStr">
        <is>
          <t>coverage/analytics report</t>
        </is>
      </c>
      <c r="G23" s="27" t="inlineStr">
        <is>
          <t>SRC-04; SRC-02 AN-AC-01</t>
        </is>
      </c>
      <c r="H23" s="27" t="inlineStr">
        <is>
          <t>Target tài liệu</t>
        </is>
      </c>
      <c r="I23" s="27" t="inlineStr">
        <is>
          <t>Chưa đo; không phải kết quả hiện tại</t>
        </is>
      </c>
      <c r="J23" s="27" t="inlineStr">
        <is>
          <t>NOT RUN</t>
        </is>
      </c>
    </row>
    <row r="24" ht="45.75" customHeight="1">
      <c r="A24" s="29" t="inlineStr">
        <is>
          <t>Q-11</t>
        </is>
      </c>
      <c r="B24" s="29" t="inlineStr">
        <is>
          <t>Representative drill-down</t>
        </is>
      </c>
      <c r="C24" s="29" t="inlineStr">
        <is>
          <t>M5/M6</t>
        </is>
      </c>
      <c r="D24" s="29" t="inlineStr">
        <is>
          <t>5–10 diverse cases nếu cohort đủ; keep all filters</t>
        </is>
      </c>
      <c r="E24" s="29" t="inlineStr">
        <is>
          <t>Duplicate/source diversity checks; direct SQL filter parity; report when fewer results exist</t>
        </is>
      </c>
      <c r="F24" s="29" t="inlineStr">
        <is>
          <t>investigation eval</t>
        </is>
      </c>
      <c r="G24" s="29" t="inlineStr">
        <is>
          <t>SRC-04; SRC-02 AN-AC-02..03</t>
        </is>
      </c>
      <c r="H24" s="29" t="inlineStr">
        <is>
          <t>Target tài liệu</t>
        </is>
      </c>
      <c r="I24" s="29" t="inlineStr">
        <is>
          <t>Chưa đo; không phải kết quả hiện tại</t>
        </is>
      </c>
      <c r="J24" s="29" t="inlineStr">
        <is>
          <t>NOT RUN</t>
        </is>
      </c>
    </row>
    <row r="25" ht="45.75" customHeight="1">
      <c r="A25" s="27" t="inlineStr">
        <is>
          <t>Q-12</t>
        </is>
      </c>
      <c r="B25" s="27" t="inlineStr">
        <is>
          <t>Graph/knowledge governance</t>
        </is>
      </c>
      <c r="C25" s="27" t="inlineStr">
        <is>
          <t>M6/M7</t>
        </is>
      </c>
      <c r="D25" s="27" t="inlineStr">
        <is>
          <t>100% published mutations approved/audited; zero illegal state transitions or invalid relations in suite</t>
        </is>
      </c>
      <c r="E25" s="27" t="inlineStr">
        <is>
          <t>Constraints/orphan/duplicate checks; denied mutation/rollback; source coverage; domain-specific cycle rules</t>
        </is>
      </c>
      <c r="F25" s="27" t="inlineStr">
        <is>
          <t>graph eval + approval audit</t>
        </is>
      </c>
      <c r="G25" s="27" t="inlineStr">
        <is>
          <t>SRC-05 §4; SRC-02 §13.3; DEC-06</t>
        </is>
      </c>
      <c r="H25" s="27" t="inlineStr">
        <is>
          <t>Target tài liệu</t>
        </is>
      </c>
      <c r="I25" s="27" t="inlineStr">
        <is>
          <t>Chưa đo; không phải kết quả hiện tại</t>
        </is>
      </c>
      <c r="J25" s="27" t="inlineStr">
        <is>
          <t>NOT RUN</t>
        </is>
      </c>
    </row>
    <row r="26" ht="45.75" customHeight="1">
      <c r="A26" s="29" t="inlineStr">
        <is>
          <t>Q-13</t>
        </is>
      </c>
      <c r="B26" s="29" t="inlineStr">
        <is>
          <t>Anomaly/knowledge freshness</t>
        </is>
      </c>
      <c r="C26" s="29" t="inlineStr">
        <is>
          <t>M5/M6/M8</t>
        </is>
      </c>
      <c r="D26" s="29" t="inlineStr">
        <is>
          <t>Alert precision ≥90%; drift detection &lt;24h; knowledge freshness &lt;24h (targets)</t>
        </is>
      </c>
      <c r="E26" s="29" t="inlineStr">
        <is>
          <t>Labeled anomaly replay + measured schedules; real observed window needed; published version timestamps</t>
        </is>
      </c>
      <c r="F26" s="29" t="inlineStr">
        <is>
          <t>alert/freshness report</t>
        </is>
      </c>
      <c r="G26" s="29" t="inlineStr">
        <is>
          <t>SRC-05 §4</t>
        </is>
      </c>
      <c r="H26" s="29" t="inlineStr">
        <is>
          <t>Target tài liệu</t>
        </is>
      </c>
      <c r="I26" s="29" t="inlineStr">
        <is>
          <t>Synthetic replay pass không đủ chứng minh production detection SLA.</t>
        </is>
      </c>
      <c r="J26" s="29" t="inlineStr">
        <is>
          <t>NOT RUN</t>
        </is>
      </c>
    </row>
    <row r="27" ht="45.75" customHeight="1">
      <c r="A27" s="27" t="inlineStr">
        <is>
          <t>Q-14</t>
        </is>
      </c>
      <c r="B27" s="27" t="inlineStr">
        <is>
          <t>Root-cause investigation speed</t>
        </is>
      </c>
      <c r="C27" s="27" t="inlineStr">
        <is>
          <t>M6/M8</t>
        </is>
      </c>
      <c r="D27" s="27" t="inlineStr">
        <is>
          <t>Investigation time &lt;2h; emerging issue detection 24–48h (different clocks)</t>
        </is>
      </c>
      <c r="E27" s="27" t="inlineStr">
        <is>
          <t>Start alert→analyst conclusion; issue first event→detection; require reviewers/sample cases</t>
        </is>
      </c>
      <c r="F27" s="27" t="inlineStr">
        <is>
          <t>investigation timing report</t>
        </is>
      </c>
      <c r="G27" s="27" t="inlineStr">
        <is>
          <t>SRC-05 §4; SRC-03</t>
        </is>
      </c>
      <c r="H27" s="27" t="inlineStr">
        <is>
          <t>Target tài liệu</t>
        </is>
      </c>
      <c r="I27" s="27" t="inlineStr">
        <is>
          <t>Không nhập hai định nghĩa thời gian thành một; self-run demo ghi rõ.</t>
        </is>
      </c>
      <c r="J27" s="27" t="inlineStr">
        <is>
          <t>NOT RUN</t>
        </is>
      </c>
    </row>
    <row r="28" ht="45.75" customHeight="1">
      <c r="A28" s="29" t="inlineStr">
        <is>
          <t>Q-15</t>
        </is>
      </c>
      <c r="B28" s="29" t="inlineStr">
        <is>
          <t>Business impact</t>
        </is>
      </c>
      <c r="C28" s="29" t="inlineStr">
        <is>
          <t>M8 / live pilot</t>
        </is>
      </c>
      <c r="D28" s="29" t="inlineStr">
        <is>
          <t>AHT reduction ≥40%; FCR improvement ≥15%; draft acceptance ≥80%; track MTTR/CSAT/reopen/cost</t>
        </is>
      </c>
      <c r="E28" s="29" t="inlineStr">
        <is>
          <t>Manual vs assisted comparable cohorts; define relative FCR change; n/time window/confounds; real customer pilot separate</t>
        </is>
      </c>
      <c r="F28" s="29" t="inlineStr">
        <is>
          <t>business KPI report</t>
        </is>
      </c>
      <c r="G28" s="29" t="inlineStr">
        <is>
          <t>SRC-03; SRC-05 §4,9; SRC-06 §7</t>
        </is>
      </c>
      <c r="H28" s="29" t="inlineStr">
        <is>
          <t>Target business cần pilot</t>
        </is>
      </c>
      <c r="I28" s="29" t="inlineStr">
        <is>
          <t>Không có real pilot → NOT VALIDATED; demo synthetic chỉ kiểm công thức/instrumentation.</t>
        </is>
      </c>
      <c r="J28" s="29" t="inlineStr">
        <is>
          <t>NOT RUN</t>
        </is>
      </c>
    </row>
    <row r="29" ht="126.43" customHeight="1">
      <c r="A29" s="27" t="inlineStr">
        <is>
          <t>Q-16</t>
        </is>
      </c>
      <c r="B29" s="27" t="inlineStr">
        <is>
          <t>Latency, availability and scale</t>
        </is>
      </c>
      <c r="C29" s="27" t="inlineStr">
        <is>
          <t>M8</t>
        </is>
      </c>
      <c r="D29" s="27" t="inlineStr">
        <is>
          <t>Architecture-target Pipeline B &lt;2s từ query/ticket đã nhận đến output đã qua guardrails, gồm retrieval/rerank/graph/policy/LLM khi route dùng; không thay bằng TTFT. ABSA p95 ≤300ms, search no-rerank p95 ≤250ms và availability 99.5–99.9% là giả định research cần khóa G0</t>
        </is>
      </c>
      <c r="E29" s="27" t="inlineStr">
        <is>
          <t>Freeze hardware/corpus/concurrency/cold-warm; 1x/3x/10x bounded load; separate measured test and long-term uptime</t>
        </is>
      </c>
      <c r="F29" s="27" t="inlineStr">
        <is>
          <t>performance/limits report</t>
        </is>
      </c>
      <c r="G29" s="27" t="inlineStr">
        <is>
          <t>SRC-07 NFR; SRC-05 §5.2</t>
        </is>
      </c>
      <c r="H29" s="27" t="inlineStr">
        <is>
          <t>Giả định planning trong nguồn</t>
        </is>
      </c>
      <c r="I29" s="27" t="inlineStr">
        <is>
          <t>Không kiểm chứng sustained availability trong short load test; cần observation window và resource budget.</t>
        </is>
      </c>
      <c r="J29" s="27" t="inlineStr">
        <is>
          <t>NOT RUN</t>
        </is>
      </c>
    </row>
    <row r="30" ht="45.75" customHeight="1">
      <c r="A30" s="29" t="inlineStr">
        <is>
          <t>Q-17</t>
        </is>
      </c>
      <c r="B30" s="29" t="inlineStr">
        <is>
          <t>Release reproducibility and recovery</t>
        </is>
      </c>
      <c r="C30" s="29" t="inlineStr">
        <is>
          <t>M8</t>
        </is>
      </c>
      <c r="D30" s="29" t="inlineStr">
        <is>
          <t>Same artifact digest; all versions attached; app/model/index/knowledge rollback demonstrated</t>
        </is>
      </c>
      <c r="E30" s="29" t="inlineStr">
        <is>
          <t>Fresh deploy, smoke tests, restore/rebuild and rollback drill; record recovery time/RPO/RTO chosen at G0</t>
        </is>
      </c>
      <c r="F30" s="29" t="inlineStr">
        <is>
          <t>release manifest + recovery report</t>
        </is>
      </c>
      <c r="G30" s="29" t="inlineStr">
        <is>
          <t>SRC-02 §15–16,21; SRC-15</t>
        </is>
      </c>
      <c r="H30" s="29" t="inlineStr">
        <is>
          <t>Target tài liệu</t>
        </is>
      </c>
      <c r="I30" s="29" t="inlineStr">
        <is>
          <t>Chưa đo; không phải kết quả hiện tại</t>
        </is>
      </c>
      <c r="J30" s="29" t="inlineStr">
        <is>
          <t>NOT RUN</t>
        </is>
      </c>
    </row>
    <row r="31" ht="45.75" customHeight="1">
      <c r="A31" s="27" t="inlineStr">
        <is>
          <t>Q-18</t>
        </is>
      </c>
      <c r="B31" s="27" t="inlineStr">
        <is>
          <t>Full user-story acceptance</t>
        </is>
      </c>
      <c r="C31" s="27" t="inlineStr">
        <is>
          <t>M8</t>
        </is>
      </c>
      <c r="D31" s="27" t="inlineStr">
        <is>
          <t>5 role flows demo pass; all core acceptance IDs evidence; conditional/deferred explicit</t>
        </is>
      </c>
      <c r="E31" s="27" t="inlineStr">
        <is>
          <t>Browser/API E2E; role matrix; scenario firmware; coverage lookup and reports</t>
        </is>
      </c>
      <c r="F31" s="27" t="inlineStr">
        <is>
          <t>UAT recordings + acceptance matrix</t>
        </is>
      </c>
      <c r="G31" s="27" t="inlineStr">
        <is>
          <t>SRC-02 §21; SRC-03; SRC-04</t>
        </is>
      </c>
      <c r="H31" s="27" t="inlineStr">
        <is>
          <t>Gate bàn giao</t>
        </is>
      </c>
      <c r="I31" s="27" t="inlineStr">
        <is>
          <t>Demo completion không tự đóng live cloud/real business impact/advanced extension gates.</t>
        </is>
      </c>
      <c r="J31" s="27" t="inlineStr">
        <is>
          <t>NOT RUN</t>
        </is>
      </c>
    </row>
  </sheetData>
  <autoFilter ref="A4:J31"/>
  <mergeCells count="2">
    <mergeCell ref="A1:J1"/>
    <mergeCell ref="A2:J2"/>
  </mergeCells>
  <hyperlinks>
    <hyperlink ref="A3" location="'Cover Page'!A1" display="← Cover Page"/>
  </hyperlinks>
  <pageMargins left="0.7" right="0.7" top="0.75" bottom="0.75" header="0.3" footer="0.3"/>
  <pageSetup orientation="landscape" paperSize="8" fitToHeight="0"/>
  <headerFooter>
    <oddHeader/>
    <oddFooter>&amp;CSenticRAG | Kế hoạch triển khai | 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FF087E8B"/>
    <outlinePr summaryBelow="1" summaryRight="1"/>
    <pageSetUpPr fitToPage="1"/>
  </sheetPr>
  <dimension ref="A1:I16"/>
  <sheetViews>
    <sheetView showGridLines="0" zoomScale="85" zoomScaleNormal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.7109375" customWidth="1" min="1" max="1"/>
    <col width="42.7109375" customWidth="1" min="2" max="2"/>
    <col width="22.7109375" customWidth="1" min="3" max="3"/>
    <col width="60.7109375" customWidth="1" min="4" max="4"/>
    <col width="70.7109375" customWidth="1" min="5" max="6"/>
    <col width="95.7109375" customWidth="1" min="7" max="7"/>
    <col width="50.7109375" customWidth="1" min="8" max="8"/>
    <col width="45.7109375" customWidth="1" min="9" max="9"/>
  </cols>
  <sheetData>
    <row r="1" ht="36" customHeight="1">
      <c r="A1" s="7" t="inlineStr">
        <is>
          <t>DATA PLAN | dữ liệu cần chuẩn bị cho từng giai đoạn</t>
        </is>
      </c>
    </row>
    <row r="2" ht="36" customHeight="1">
      <c r="A2" s="8" t="inlineStr">
        <is>
          <t>Kích thước là mục tiêu demo/spec, không là số lượng đã có. Training/eval data có provenance, quyền sử dụng và split/version riêng; synthetic data phải được đánh dấu.</t>
        </is>
      </c>
    </row>
    <row r="3">
      <c r="A3" s="9" t="inlineStr">
        <is>
          <t>← Cover Page</t>
        </is>
      </c>
    </row>
    <row r="4" ht="33.75" customHeight="1">
      <c r="A4" s="26" t="inlineStr">
        <is>
          <t>Dataset ID</t>
        </is>
      </c>
      <c r="B4" s="26" t="inlineStr">
        <is>
          <t>Dữ liệu</t>
        </is>
      </c>
      <c r="C4" s="26" t="inlineStr">
        <is>
          <t>Giai đoạn</t>
        </is>
      </c>
      <c r="D4" s="26" t="inlineStr">
        <is>
          <t>Nguồn</t>
        </is>
      </c>
      <c r="E4" s="26" t="inlineStr">
        <is>
          <t>Kích thước / phạm vi</t>
        </is>
      </c>
      <c r="F4" s="26" t="inlineStr">
        <is>
          <t>Artifact đầu ra</t>
        </is>
      </c>
      <c r="G4" s="26" t="inlineStr">
        <is>
          <t>Kiểm chất lượng / governance</t>
        </is>
      </c>
      <c r="H4" s="26" t="inlineStr">
        <is>
          <t>Tasks / I/O</t>
        </is>
      </c>
      <c r="I4" s="26" t="inlineStr">
        <is>
          <t>Nguồn yêu cầu</t>
        </is>
      </c>
    </row>
    <row r="5" ht="45.75" customHeight="1">
      <c r="A5" s="27" t="inlineStr">
        <is>
          <t>DATA-01</t>
        </is>
      </c>
      <c r="B5" s="27" t="inlineStr">
        <is>
          <t>Policy raw → clean → chunks</t>
        </is>
      </c>
      <c r="C5" s="27" t="inlineStr">
        <is>
          <t>M1</t>
        </is>
      </c>
      <c r="D5" s="27" t="inlineStr">
        <is>
          <t>Data_crawling exports; public/source-approved docs</t>
        </is>
      </c>
      <c r="E5" s="27" t="inlineStr">
        <is>
          <t>Kiểm kê toàn bộ; demo 5–10 policy/~30 clauses</t>
        </is>
      </c>
      <c r="F5" s="27" t="inlineStr">
        <is>
          <t>Raw manifest + clean JSONL + approved chunks</t>
        </is>
      </c>
      <c r="G5" s="27" t="inlineStr">
        <is>
          <t>URL/title/hash/crawl time; verified effective dates; duplicate/empty checks; manual clause review</t>
        </is>
      </c>
      <c r="H5" s="27" t="inlineStr">
        <is>
          <t>M1.1–M1.3; IO-04</t>
        </is>
      </c>
      <c r="I5" s="27" t="inlineStr">
        <is>
          <t>SRC-06 §5,8; SRC-10..13</t>
        </is>
      </c>
    </row>
    <row r="6" ht="45.75" customHeight="1">
      <c r="A6" s="29" t="inlineStr">
        <is>
          <t>DATA-02</t>
        </is>
      </c>
      <c r="B6" s="29" t="inlineStr">
        <is>
          <t>Policy golden queries &amp; chat dialogues</t>
        </is>
      </c>
      <c r="C6" s="29" t="inlineStr">
        <is>
          <t>M1→M2</t>
        </is>
      </c>
      <c r="D6" s="29" t="inlineStr">
        <is>
          <t>Tự soạn từ policy đã duyệt</t>
        </is>
      </c>
      <c r="E6" s="29" t="inlineStr">
        <is>
          <t>40 queries; 20 dialogues nhiều lượt (đề xuất MVP)</t>
        </is>
      </c>
      <c r="F6" s="29" t="inlineStr">
        <is>
          <t>golden_policy_queries.jsonl; chat_eval.jsonl</t>
        </is>
      </c>
      <c r="G6" s="29" t="inlineStr">
        <is>
          <t>Dev/test tách theo document/intent; expected sources, no-answer, follow-up, expired/conflict; human rubric</t>
        </is>
      </c>
      <c r="H6" s="29" t="inlineStr">
        <is>
          <t>M1.4; M2.2; M2.8</t>
        </is>
      </c>
      <c r="I6" s="29" t="inlineStr">
        <is>
          <t>SRC-06 §4,6; đề xuất MVP</t>
        </is>
      </c>
    </row>
    <row r="7" ht="45.75" customHeight="1">
      <c r="A7" s="27" t="inlineStr">
        <is>
          <t>DATA-03</t>
        </is>
      </c>
      <c r="B7" s="27" t="inlineStr">
        <is>
          <t>PII evaluation</t>
        </is>
      </c>
      <c r="C7" s="27" t="inlineStr">
        <is>
          <t>M1→M8</t>
        </is>
      </c>
      <c r="D7" s="27" t="inlineStr">
        <is>
          <t>Synthetic tiếng Việt/Anh + review thủ công</t>
        </is>
      </c>
      <c r="E7" s="27" t="inlineStr">
        <is>
          <t>500–1,000 cases theo data spec; tối thiểu 500 demo</t>
        </is>
      </c>
      <c r="F7" s="27" t="inlineStr">
        <is>
          <t>pii_eval.jsonl; spans + expected_masked_text</t>
        </is>
      </c>
      <c r="G7" s="27" t="inlineStr">
        <is>
          <t>Phone/email/person/address/order refs; 0 leaks trong suite; synthetic pass không là bảo đảm tổng quát</t>
        </is>
      </c>
      <c r="H7" s="27" t="inlineStr">
        <is>
          <t>M1.4; M3.7; M8.5</t>
        </is>
      </c>
      <c r="I7" s="27" t="inlineStr">
        <is>
          <t>SRC-06 §2.2</t>
        </is>
      </c>
    </row>
    <row r="8" ht="35.25" customHeight="1">
      <c r="A8" s="29" t="inlineStr">
        <is>
          <t>DATA-04</t>
        </is>
      </c>
      <c r="B8" s="29" t="inlineStr">
        <is>
          <t>Products/orders/customers</t>
        </is>
      </c>
      <c r="C8" s="29" t="inlineStr">
        <is>
          <t>M3</t>
        </is>
      </c>
      <c r="D8" s="29" t="inlineStr">
        <is>
          <t>Synthetic seed có nguồn rõ; live CRM nếu được cấp</t>
        </is>
      </c>
      <c r="E8" s="29" t="inlineStr">
        <is>
          <t>5–10 products; ~15 versions; 200 customer/order records</t>
        </is>
      </c>
      <c r="F8" s="29" t="inlineStr">
        <is>
          <t>products_and_orders.json + SQL seed</t>
        </is>
      </c>
      <c r="G8" s="29" t="inlineStr">
        <is>
          <t>No real PII; FK/ownership/boundary dates; seed source không nhầm production</t>
        </is>
      </c>
      <c r="H8" s="29" t="inlineStr">
        <is>
          <t>M3.1–M3.2; IO-06</t>
        </is>
      </c>
      <c r="I8" s="29" t="inlineStr">
        <is>
          <t>SRC-06 §5.3,8</t>
        </is>
      </c>
    </row>
    <row r="9" ht="45.75" customHeight="1">
      <c r="A9" s="27" t="inlineStr">
        <is>
          <t>DATA-05</t>
        </is>
      </c>
      <c r="B9" s="27" t="inlineStr">
        <is>
          <t>Structured policies</t>
        </is>
      </c>
      <c r="C9" s="27" t="inlineStr">
        <is>
          <t>M1 catalog→M3 rules</t>
        </is>
      </c>
      <c r="D9" s="27" t="inlineStr">
        <is>
          <t>Approved policy document + manual rule transcription</t>
        </is>
      </c>
      <c r="E9" s="27" t="inlineStr">
        <is>
          <t>5–10 versioned policies; ~30 clauses</t>
        </is>
      </c>
      <c r="F9" s="27" t="inlineStr">
        <is>
          <t>policies.json + registry</t>
        </is>
      </c>
      <c r="G9" s="27" t="inlineStr">
        <is>
          <t>Effective dates/scope/conditions/allowed actions có reviewer; sample 365-day warranty chỉ là fixture</t>
        </is>
      </c>
      <c r="H9" s="27" t="inlineStr">
        <is>
          <t>M1.3; M3.3; IO-07</t>
        </is>
      </c>
      <c r="I9" s="27" t="inlineStr">
        <is>
          <t>SRC-06 §5.2,8</t>
        </is>
      </c>
    </row>
    <row r="10" ht="45.75" customHeight="1">
      <c r="A10" s="29" t="inlineStr">
        <is>
          <t>DATA-06</t>
        </is>
      </c>
      <c r="B10" s="29" t="inlineStr">
        <is>
          <t>ABSA benchmark/domain extension</t>
        </is>
      </c>
      <c r="C10" s="29" t="inlineStr">
        <is>
          <t>M4</t>
        </is>
      </c>
      <c r="D10" s="29" t="inlineStr">
        <is>
          <t>UIT-ViSFD; UIT-ViSD4SA; domain data được phép</t>
        </is>
      </c>
      <c r="E10" s="29" t="inlineStr">
        <is>
          <t>Doc nêu 11,122 reviews; xác minh count và official splits; domain bổ sung tùy nhãn</t>
        </is>
      </c>
      <c r="F10" s="29" t="inlineStr">
        <is>
          <t>train/dev/test.parquet; taxonomy yaml; data card</t>
        </is>
      </c>
      <c r="G10" s="29" t="inlineStr">
        <is>
          <t>Giữ splits nguồn; không tái chia 70/10/20 nếu đã có official split; kiểm quyền; span labels cần riêng; holdout locked</t>
        </is>
      </c>
      <c r="H10" s="29" t="inlineStr">
        <is>
          <t>M4.1–M4.4; IO-10</t>
        </is>
      </c>
      <c r="I10" s="29" t="inlineStr">
        <is>
          <t>SRC-06 §3; SRC-07 ABSA</t>
        </is>
      </c>
    </row>
    <row r="11" ht="45.75" customHeight="1">
      <c r="A11" s="27" t="inlineStr">
        <is>
          <t>DATA-07</t>
        </is>
      </c>
      <c r="B11" s="27" t="inlineStr">
        <is>
          <t>Semantic router</t>
        </is>
      </c>
      <c r="C11" s="27" t="inlineStr">
        <is>
          <t>M4</t>
        </is>
      </c>
      <c r="D11" s="27" t="inlineStr">
        <is>
          <t>Synthetic templates + manually reviewed sample; real data khi có quyền</t>
        </is>
      </c>
      <c r="E11" s="27" t="inlineStr">
        <is>
          <t>1,500–3,000 texts theo spec; MVP 1,500 synthetic/curated</t>
        </is>
      </c>
      <c r="F11" s="27" t="inlineStr">
        <is>
          <t>router_train/dev/test.jsonl; rubric</t>
        </is>
      </c>
      <c r="G11" s="27" t="inlineStr">
        <is>
          <t>macro_review/complaint_ticket/out_of_scope; policy_query map rõ; tránh template overlap test; report synthetic bias</t>
        </is>
      </c>
      <c r="H11" s="27" t="inlineStr">
        <is>
          <t>M4.6</t>
        </is>
      </c>
      <c r="I11" s="27" t="inlineStr">
        <is>
          <t>SRC-06 §2.2; DEC-09</t>
        </is>
      </c>
    </row>
    <row r="12" ht="45.75" customHeight="1">
      <c r="A12" s="29" t="inlineStr">
        <is>
          <t>DATA-08</t>
        </is>
      </c>
      <c r="B12" s="29" t="inlineStr">
        <is>
          <t>Review/graph golden retrieval queries</t>
        </is>
      </c>
      <c r="C12" s="29" t="inlineStr">
        <is>
          <t>M5→M6</t>
        </is>
      </c>
      <c r="D12" s="29" t="inlineStr">
        <is>
          <t>Corpus đã mask + graph fixtures</t>
        </is>
      </c>
      <c r="E12" s="29" t="inlineStr">
        <is>
          <t>+40 review queries M5; +20 graph/known-issue M6; tổng ≥100</t>
        </is>
      </c>
      <c r="F12" s="29" t="inlineStr">
        <is>
          <t>golden_queries.jsonl + graded relevance</t>
        </is>
      </c>
      <c r="G12" s="29" t="inlineStr">
        <is>
          <t>Mỗi source slice riêng; benchmark dense/BM25/hybrid/reranker; no mixing policy Recall with review Recall</t>
        </is>
      </c>
      <c r="H12" s="29" t="inlineStr">
        <is>
          <t>M5.3; M6.8; IO-14</t>
        </is>
      </c>
      <c r="I12" s="29" t="inlineStr">
        <is>
          <t>SRC-06 §4.3,8</t>
        </is>
      </c>
    </row>
    <row r="13" ht="45.75" customHeight="1">
      <c r="A13" s="27" t="inlineStr">
        <is>
          <t>DATA-09</t>
        </is>
      </c>
      <c r="B13" s="27" t="inlineStr">
        <is>
          <t>Resolution safety scenarios</t>
        </is>
      </c>
      <c r="C13" s="27" t="inlineStr">
        <is>
          <t>M3→M6</t>
        </is>
      </c>
      <c r="D13" s="27" t="inlineStr">
        <is>
          <t>Synthetic verified orders + policies + graph states</t>
        </is>
      </c>
      <c r="E13" s="27" t="inlineStr">
        <is>
          <t>30 cases M3; +20 M6; tổng ≥50 (spec 50–100)</t>
        </is>
      </c>
      <c r="F13" s="27" t="inlineStr">
        <is>
          <t>resolution_eval.jsonl</t>
        </is>
      </c>
      <c r="G13" s="27" t="inlineStr">
        <is>
          <t>Trong hạn, hết hạn, unconfirmed, injection; bổ sung missing/foreign order, retired policy, action retry; expected approval/actions/citations</t>
        </is>
      </c>
      <c r="H13" s="27" t="inlineStr">
        <is>
          <t>M3.7; M6.8</t>
        </is>
      </c>
      <c r="I13" s="27" t="inlineStr">
        <is>
          <t>SRC-06 §6.2,8</t>
        </is>
      </c>
    </row>
    <row r="14" ht="45.75" customHeight="1">
      <c r="A14" s="29" t="inlineStr">
        <is>
          <t>DATA-10</t>
        </is>
      </c>
      <c r="B14" s="29" t="inlineStr">
        <is>
          <t>Graph seed</t>
        </is>
      </c>
      <c r="C14" s="29" t="inlineStr">
        <is>
          <t>M6</t>
        </is>
      </c>
      <c r="D14" s="29" t="inlineStr">
        <is>
          <t>Curated synthetic known issues + product/policy/evidence IDs</t>
        </is>
      </c>
      <c r="E14" s="29" t="inlineStr">
        <is>
          <t>~15 symptoms; 10 causes; 10 resolutions; 5 centers; bounded graph</t>
        </is>
      </c>
      <c r="F14" s="29" t="inlineStr">
        <is>
          <t>neo4j_ontology_seed.json; schema/version manifest</t>
        </is>
      </c>
      <c r="G14" s="29" t="inlineStr">
        <is>
          <t>Confirmed có evidence/approval; Issue/Firmware/Team bổ sung theo blueprint; graph bridge IDs stable</t>
        </is>
      </c>
      <c r="H14" s="29" t="inlineStr">
        <is>
          <t>M6.1–M6.3; IO-12</t>
        </is>
      </c>
      <c r="I14" s="29" t="inlineStr">
        <is>
          <t>SRC-06 §5,8; SRC-08; SRC-02 §7.6</t>
        </is>
      </c>
    </row>
    <row r="15" ht="45.75" customHeight="1">
      <c r="A15" s="27" t="inlineStr">
        <is>
          <t>DATA-11</t>
        </is>
      </c>
      <c r="B15" s="27" t="inlineStr">
        <is>
          <t>Human annotations &amp; outcomes</t>
        </is>
      </c>
      <c r="C15" s="27" t="inlineStr">
        <is>
          <t>M3→M7</t>
        </is>
      </c>
      <c r="D15" s="27" t="inlineStr">
        <is>
          <t>UI corrections/edits/relevance/outcome + synthetic demo scripts</t>
        </is>
      </c>
      <c r="E15" s="27" t="inlineStr">
        <is>
          <t>Đủ mỗi feedback type; số thực được báo, không bịa adoption</t>
        </is>
      </c>
      <c r="F15" s="27" t="inlineStr">
        <is>
          <t>annotations.parquet/jsonl; outcome events; active-learning export</t>
        </is>
      </c>
      <c r="G15" s="27" t="inlineStr">
        <is>
          <t>Provenance/authors/review; train export chỉ approved; locked test không hồi vào train; no immediate truth</t>
        </is>
      </c>
      <c r="H15" s="27" t="inlineStr">
        <is>
          <t>M3.6; M4.7; M6.6; M7.1–M7.2</t>
        </is>
      </c>
      <c r="I15" s="27" t="inlineStr">
        <is>
          <t>SRC-06 §7; SRC-02 §7.10</t>
        </is>
      </c>
    </row>
    <row r="16" ht="45.75" customHeight="1">
      <c r="A16" s="29" t="inlineStr">
        <is>
          <t>DATA-12</t>
        </is>
      </c>
      <c r="B16" s="29" t="inlineStr">
        <is>
          <t>Evaluation/release/ops evidence</t>
        </is>
      </c>
      <c r="C16" s="29" t="inlineStr">
        <is>
          <t>M0→M8</t>
        </is>
      </c>
      <c r="D16" s="29" t="inlineStr">
        <is>
          <t>Code/config/data/model/index/graph/policy outputs</t>
        </is>
      </c>
      <c r="E16" s="29" t="inlineStr">
        <is>
          <t>Mỗi gate 1 manifest/report; 5 E2E recordings; load snapshots</t>
        </is>
      </c>
      <c r="F16" s="29" t="inlineStr">
        <is>
          <t>run-manifest.json; reports; model/data cards; runbooks</t>
        </is>
      </c>
      <c r="G16" s="29" t="inlineStr">
        <is>
          <t>Hash/digests; immutable artifacts; sample_count/hardware; status NOT_RUN/FAIL rõ; large weights ngoài Git</t>
        </is>
      </c>
      <c r="H16" s="29" t="inlineStr">
        <is>
          <t>Các gate; M8.1–M8.8; IO-15</t>
        </is>
      </c>
      <c r="I16" s="29" t="inlineStr">
        <is>
          <t>SRC-15; SRC-02 §13–16,21</t>
        </is>
      </c>
    </row>
  </sheetData>
  <autoFilter ref="A4:I16"/>
  <mergeCells count="2">
    <mergeCell ref="A1:I1"/>
    <mergeCell ref="A2:I2"/>
  </mergeCells>
  <hyperlinks>
    <hyperlink ref="A3" location="'Cover Page'!A1" display="← Cover Page"/>
  </hyperlinks>
  <pageMargins left="0.7" right="0.7" top="0.75" bottom="0.75" header="0.3" footer="0.3"/>
  <pageSetup orientation="landscape" paperSize="8" fitToHeight="0"/>
  <headerFooter>
    <oddHeader/>
    <oddFooter>&amp;CSenticRAG | Kế hoạch triển khai | 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FF087E8B"/>
    <outlinePr summaryBelow="1" summaryRight="1"/>
    <pageSetUpPr fitToPage="1"/>
  </sheetPr>
  <dimension ref="A1:G20"/>
  <sheetViews>
    <sheetView showGridLines="0" zoomScale="85" zoomScaleNormal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.7109375" customWidth="1" min="1" max="1"/>
    <col width="32.7109375" customWidth="1" min="2" max="2"/>
    <col width="75.7109375" customWidth="1" min="3" max="3"/>
    <col width="25.7109375" customWidth="1" min="4" max="4"/>
    <col width="45.7109375" customWidth="1" min="5" max="5"/>
    <col width="100.7109375" customWidth="1" min="6" max="6"/>
    <col width="45.7109375" customWidth="1" min="7" max="7"/>
  </cols>
  <sheetData>
    <row r="1" ht="36" customHeight="1">
      <c r="A1" s="7" t="inlineStr">
        <is>
          <t>TECHNOLOGY PLAN | chọn gì, dùng ở đâu, vì sao</t>
        </is>
      </c>
    </row>
    <row r="2" ht="36" customHeight="1">
      <c r="A2" s="8" t="inlineStr">
        <is>
          <t>Tái dùng stack repo; phần mới/chưa chọn có ADR và gate. Không khóa lựa chọn model theo giả định chất lượng chưa đo; phiên bản package dùng lockfile khi triển khai.</t>
        </is>
      </c>
    </row>
    <row r="3">
      <c r="A3" s="9" t="inlineStr">
        <is>
          <t>← Cover Page</t>
        </is>
      </c>
    </row>
    <row r="4" ht="33.75" customHeight="1">
      <c r="A4" s="26" t="inlineStr">
        <is>
          <t>Tech ID</t>
        </is>
      </c>
      <c r="B4" s="26" t="inlineStr">
        <is>
          <t>Năng lực</t>
        </is>
      </c>
      <c r="C4" s="26" t="inlineStr">
        <is>
          <t>Công nghệ</t>
        </is>
      </c>
      <c r="D4" s="26" t="inlineStr">
        <is>
          <t>Giai đoạn</t>
        </is>
      </c>
      <c r="E4" s="26" t="inlineStr">
        <is>
          <t>Trạng thái lựa chọn</t>
        </is>
      </c>
      <c r="F4" s="26" t="inlineStr">
        <is>
          <t>Cách dùng / giới hạn</t>
        </is>
      </c>
      <c r="G4" s="26" t="inlineStr">
        <is>
          <t>Nguồn</t>
        </is>
      </c>
    </row>
    <row r="5" ht="45.75" customHeight="1">
      <c r="A5" s="27" t="inlineStr">
        <is>
          <t>TECH-01</t>
        </is>
      </c>
      <c r="B5" s="27" t="inlineStr">
        <is>
          <t>Backend &amp; API</t>
        </is>
      </c>
      <c r="C5" s="27" t="inlineStr">
        <is>
          <t>Python 3.11/3.12; FastAPI; Pydantic; Poetry</t>
        </is>
      </c>
      <c r="D5" s="27" t="inlineStr">
        <is>
          <t>M0→M8</t>
        </is>
      </c>
      <c r="E5" s="27" t="inlineStr">
        <is>
          <t>Có trong repo</t>
        </is>
      </c>
      <c r="F5" s="27" t="inlineStr">
        <is>
          <t>Typed APIs, validation, middleware, contracts; pin dependencies từ poetry.lock; /api/v1 canonical</t>
        </is>
      </c>
      <c r="G5" s="27" t="inlineStr">
        <is>
          <t>SRC-01; SRC-16; WEB-01</t>
        </is>
      </c>
    </row>
    <row r="6" ht="45.75" customHeight="1">
      <c r="A6" s="29" t="inlineStr">
        <is>
          <t>TECH-02</t>
        </is>
      </c>
      <c r="B6" s="29" t="inlineStr">
        <is>
          <t>Frontend</t>
        </is>
      </c>
      <c r="C6" s="29" t="inlineStr">
        <is>
          <t>React + TypeScript; một ứng dụng apps/web; component/API client dùng chung</t>
        </is>
      </c>
      <c r="D6" s="29" t="inlineStr">
        <is>
          <t>M0/M2→M6</t>
        </is>
      </c>
      <c r="E6" s="29" t="inlineStr">
        <is>
          <t>Đề xuất; framework UI chưa có implementation</t>
        </is>
      </c>
      <c r="F6" s="29" t="inlineStr">
        <is>
          <t>Một build/deploy: Buyer Chat (M2), Agent Copilot (M3), Analyst BI &amp; GraphRAG cho Analyst/PM (M5–M6), Steward Queue (M6–M7); route và API kiểm quyền; chốt bundler/chart library M0; không dựng ba project frontend</t>
        </is>
      </c>
      <c r="G6" s="29" t="inlineStr">
        <is>
          <t>WEB-04; SRC-14</t>
        </is>
      </c>
    </row>
    <row r="7" ht="45.75" customHeight="1">
      <c r="A7" s="27" t="inlineStr">
        <is>
          <t>TECH-03</t>
        </is>
      </c>
      <c r="B7" s="27" t="inlineStr">
        <is>
          <t>Operational storage</t>
        </is>
      </c>
      <c r="C7" s="27" t="inlineStr">
        <is>
          <t>PostgreSQL + SQLAlchemy 2.x + psycopg[binary] 3.x + Alembic</t>
        </is>
      </c>
      <c r="D7" s="27" t="inlineStr">
        <is>
          <t>M0→M8</t>
        </is>
      </c>
      <c r="E7" s="27" t="inlineStr">
        <is>
          <t>Target repo</t>
        </is>
      </c>
      <c r="F7" s="27" t="inlineStr">
        <is>
          <t>Sessions/history/orders/policies/outcomes/annotations và metric source of truth; SQLAlchemy quản lý truy cập/transaction, psycopg là driver, Alembic quản lý migration; khóa phiên bản tương thích Python 3.11/3.12 tại M0.4; migrations ứng dụng có một owner</t>
        </is>
      </c>
      <c r="G7" s="27" t="inlineStr">
        <is>
          <t>SRC-02 §8; SRC-06 §1</t>
        </is>
      </c>
    </row>
    <row r="8" ht="45.75" customHeight="1">
      <c r="A8" s="29" t="inlineStr">
        <is>
          <t>TECH-04</t>
        </is>
      </c>
      <c r="B8" s="29" t="inlineStr">
        <is>
          <t>Cache / queues</t>
        </is>
      </c>
      <c r="C8" s="29" t="inlineStr">
        <is>
          <t>Redis; Redis Streams; sliding-window limits</t>
        </is>
      </c>
      <c r="D8" s="29" t="inlineStr">
        <is>
          <t>M2/M4</t>
        </is>
      </c>
      <c r="E8" s="29" t="inlineStr">
        <is>
          <t>Repo có Redis; queue strategy cần thống nhất</t>
        </is>
      </c>
      <c r="F8" s="29" t="inlineStr">
        <is>
          <t>Chọn Redis Streams cho demo, một worker đơn giản; không triển khai đồng thời Celery và Kafka. Cache không là source of truth</t>
        </is>
      </c>
      <c r="G8" s="29" t="inlineStr">
        <is>
          <t>SRC-01; SRC-14; DEC-08</t>
        </is>
      </c>
    </row>
    <row r="9" ht="45.75" customHeight="1">
      <c r="A9" s="27" t="inlineStr">
        <is>
          <t>TECH-05</t>
        </is>
      </c>
      <c r="B9" s="27" t="inlineStr">
        <is>
          <t>Parsing / ingestion</t>
        </is>
      </c>
      <c r="C9" s="27" t="inlineStr">
        <is>
          <t>Python HTML parser, JSONL/Parquet, Pydantic</t>
        </is>
      </c>
      <c r="D9" s="27" t="inlineStr">
        <is>
          <t>M1/M4</t>
        </is>
      </c>
      <c r="E9" s="27" t="inlineStr">
        <is>
          <t>Cần triển khai clean/chunk</t>
        </is>
      </c>
      <c r="F9" s="27" t="inlineStr">
        <is>
          <t>Tái dùng crawler export; chọn parser theo snapshot; clause-based chunking giữ điều kiện; không cần OCR cho corpus HTML hiện tại</t>
        </is>
      </c>
      <c r="G9" s="27" t="inlineStr">
        <is>
          <t>SRC-10; SRC-06</t>
        </is>
      </c>
    </row>
    <row r="10" ht="45.75" customHeight="1">
      <c r="A10" s="29" t="inlineStr">
        <is>
          <t>TECH-06</t>
        </is>
      </c>
      <c r="B10" s="29" t="inlineStr">
        <is>
          <t>Vector / lexical retrieval</t>
        </is>
      </c>
      <c r="C10" s="29" t="inlineStr">
        <is>
          <t>Qdrant + sentence-transformers + BM25 + RRF</t>
        </is>
      </c>
      <c r="D10" s="29" t="inlineStr">
        <is>
          <t>M2/M5</t>
        </is>
      </c>
      <c r="E10" s="29" t="inlineStr">
        <is>
          <t>Target repo; module khung</t>
        </is>
      </c>
      <c r="F10" s="29" t="inlineStr">
        <is>
          <t>Benchmark local BM25 reference và Qdrant dense; chọn sparse server-side khi parity/filter tests pass; không gắn vào free-tier quota chưa đo</t>
        </is>
      </c>
      <c r="G10" s="29" t="inlineStr">
        <is>
          <t>SRC-02 §7.5; SRC-06 §4; WEB-02</t>
        </is>
      </c>
    </row>
    <row r="11" ht="45.75" customHeight="1">
      <c r="A11" s="27" t="inlineStr">
        <is>
          <t>TECH-07</t>
        </is>
      </c>
      <c r="B11" s="27" t="inlineStr">
        <is>
          <t>Embedding &amp; reranker</t>
        </is>
      </c>
      <c r="C11" s="27" t="inlineStr">
        <is>
          <t>Vietnamese/multilingual embedding candidate; BGE reranker candidate</t>
        </is>
      </c>
      <c r="D11" s="27" t="inlineStr">
        <is>
          <t>M0 smoke; M2 eval</t>
        </is>
      </c>
      <c r="E11" s="27" t="inlineStr">
        <is>
          <t>Chốt model ở G0/G2</t>
        </is>
      </c>
      <c r="F11" s="27" t="inlineStr">
        <is>
          <t>Dimension theo model thật; pin version/license; measured quality/latency/resource; enable rerank qua evidence, không mặc định</t>
        </is>
      </c>
      <c r="G11" s="27" t="inlineStr">
        <is>
          <t>SRC-06 §4; SRC-07 Retrieval</t>
        </is>
      </c>
    </row>
    <row r="12" ht="45.75" customHeight="1">
      <c r="A12" s="29" t="inlineStr">
        <is>
          <t>TECH-08</t>
        </is>
      </c>
      <c r="B12" s="29" t="inlineStr">
        <is>
          <t>LLM</t>
        </is>
      </c>
      <c r="C12" s="29" t="inlineStr">
        <is>
          <t>Provider-configured LLM API hoặc local model đủ tài nguyên</t>
        </is>
      </c>
      <c r="D12" s="29" t="inlineStr">
        <is>
          <t>M0 chọn; M2 tích hợp</t>
        </is>
      </c>
      <c r="E12" s="29" t="inlineStr">
        <is>
          <t>Chưa chọn provider/model</t>
        </is>
      </c>
      <c r="F12" s="29" t="inlineStr">
        <is>
          <t>Smoke tiếng Việt + JSON/citation; model ID/context/token/cost limit ghi config; secrets ngoài repo; không fine-tune LLM trong 14 tuần</t>
        </is>
      </c>
      <c r="G12" s="29" t="inlineStr">
        <is>
          <t>SRC-02 §7.9; DEC-10</t>
        </is>
      </c>
    </row>
    <row r="13" ht="45.75" customHeight="1">
      <c r="A13" s="27" t="inlineStr">
        <is>
          <t>TECH-09</t>
        </is>
      </c>
      <c r="B13" s="27" t="inlineStr">
        <is>
          <t>Orchestration/tools</t>
        </is>
      </c>
      <c r="C13" s="27" t="inlineStr">
        <is>
          <t>Python bounded FSM; typed tools; MCP adapter; task isolation</t>
        </is>
      </c>
      <c r="D13" s="27" t="inlineStr">
        <is>
          <t>M3</t>
        </is>
      </c>
      <c r="E13" s="27" t="inlineStr">
        <is>
          <t>Target architecture</t>
        </is>
      </c>
      <c r="F13" s="27" t="inlineStr">
        <is>
          <t>Baseline Python bounded FSM với trạng thái lưu PostgreSQL, approval/resume và action idempotency; LangGraph chỉ chọn theo DEC-17, không bắt buộc M2; allowlist tools; microVM riêng extension</t>
        </is>
      </c>
      <c r="G13" s="27" t="inlineStr">
        <is>
          <t>SRC-05 L2/L5; SRC-02 §7.9</t>
        </is>
      </c>
    </row>
    <row r="14" ht="45.75" customHeight="1">
      <c r="A14" s="29" t="inlineStr">
        <is>
          <t>TECH-10</t>
        </is>
      </c>
      <c r="B14" s="29" t="inlineStr">
        <is>
          <t>ABSA</t>
        </is>
      </c>
      <c r="C14" s="29" t="inlineStr">
        <is>
          <t>TF-IDF + Logistic Regression; PhoBERT candidate với PyTorch/Transformers</t>
        </is>
      </c>
      <c r="D14" s="29" t="inlineStr">
        <is>
          <t>M4/M7</t>
        </is>
      </c>
      <c r="E14" s="29" t="inlineStr">
        <is>
          <t>Dependencies có; model pipeline chưa có</t>
        </is>
      </c>
      <c r="F14" s="29" t="inlineStr">
        <is>
          <t>Baseline trước; một candidate bounded; tokenizer/splits pin; GPU access quyết định M0; ATE labels riêng; sklearn calibration/metrics</t>
        </is>
      </c>
      <c r="G14" s="29" t="inlineStr">
        <is>
          <t>SRC-06 §3; SRC-07 ABSA</t>
        </is>
      </c>
    </row>
    <row r="15" ht="45.75" customHeight="1">
      <c r="A15" s="27" t="inlineStr">
        <is>
          <t>TECH-11</t>
        </is>
      </c>
      <c r="B15" s="27" t="inlineStr">
        <is>
          <t>Graph</t>
        </is>
      </c>
      <c r="C15" s="27" t="inlineStr">
        <is>
          <t>Neo4j; Cypher parameterized; Python driver</t>
        </is>
      </c>
      <c r="D15" s="27" t="inlineStr">
        <is>
          <t>M6</t>
        </is>
      </c>
      <c r="E15" s="27" t="inlineStr">
        <is>
          <t>Target repo</t>
        </is>
      </c>
      <c r="F15" s="27" t="inlineStr">
        <is>
          <t>Issue-centered canonical schema; constraints/controlled hops; local graph + vector bridge; global summaries/DRIFT để extension</t>
        </is>
      </c>
      <c r="G15" s="27" t="inlineStr">
        <is>
          <t>SRC-02 §7.6–7.7; SRC-08; WEB-03</t>
        </is>
      </c>
    </row>
    <row r="16" ht="45.75" customHeight="1">
      <c r="A16" s="29" t="inlineStr">
        <is>
          <t>TECH-12</t>
        </is>
      </c>
      <c r="B16" s="29" t="inlineStr">
        <is>
          <t>Analytics</t>
        </is>
      </c>
      <c r="C16" s="29" t="inlineStr">
        <is>
          <t>PostgreSQL SQL aggregates; scheduled Python jobs; React charts</t>
        </is>
      </c>
      <c r="D16" s="29" t="inlineStr">
        <is>
          <t>M5</t>
        </is>
      </c>
      <c r="E16" s="29" t="inlineStr">
        <is>
          <t>Target repo</t>
        </is>
      </c>
      <c r="F16" s="29" t="inlineStr">
        <is>
          <t>Denominator/population, version/freshness, min samples; reuse relational data; BI dedicated product không bắt buộc</t>
        </is>
      </c>
      <c r="G16" s="29" t="inlineStr">
        <is>
          <t>SRC-02 §7.4; SRC-14</t>
        </is>
      </c>
    </row>
    <row r="17" ht="45.75" customHeight="1">
      <c r="A17" s="27" t="inlineStr">
        <is>
          <t>TECH-13</t>
        </is>
      </c>
      <c r="B17" s="27" t="inlineStr">
        <is>
          <t>Quality &amp; tests</t>
        </is>
      </c>
      <c r="C17" s="27" t="inlineStr">
        <is>
          <t>pytest; browser E2E runner; versioned JSONL eval; load harness</t>
        </is>
      </c>
      <c r="D17" s="27" t="inlineStr">
        <is>
          <t>M0→M8</t>
        </is>
      </c>
      <c r="E17" s="27" t="inlineStr">
        <is>
          <t>pytest có; browser runner chọn G0</t>
        </is>
      </c>
      <c r="F17" s="27" t="inlineStr">
        <is>
          <t>Unit/contract/integration/eval/E2E/smoke/load; holdout splits; source and safety checks; một browser test stack cho apps/web và bốn khu vực, kiểm quyền của đủ năm personas</t>
        </is>
      </c>
      <c r="G17" s="27" t="inlineStr">
        <is>
          <t>SRC-01; SRC-02 §13,16; SRC-16</t>
        </is>
      </c>
    </row>
    <row r="18" ht="45.75" customHeight="1">
      <c r="A18" s="29" t="inlineStr">
        <is>
          <t>TECH-14</t>
        </is>
      </c>
      <c r="B18" s="29" t="inlineStr">
        <is>
          <t>Observability</t>
        </is>
      </c>
      <c r="C18" s="29" t="inlineStr">
        <is>
          <t>OpenTelemetry; Prometheus; Grafana target</t>
        </is>
      </c>
      <c r="D18" s="29" t="inlineStr">
        <is>
          <t>M2→M8</t>
        </is>
      </c>
      <c r="E18" s="29" t="inlineStr">
        <is>
          <t>Dependencies cơ bản có</t>
        </is>
      </c>
      <c r="F18" s="29" t="inlineStr">
        <is>
          <t>Request/story/ticket IDs, versions, token/cost, p95, queue/drift; redact logs; dashboards bounded cho demo</t>
        </is>
      </c>
      <c r="G18" s="29" t="inlineStr">
        <is>
          <t>SRC-05 L7; SRC-07 monitoring</t>
        </is>
      </c>
    </row>
    <row r="19" ht="45.75" customHeight="1">
      <c r="A19" s="27" t="inlineStr">
        <is>
          <t>TECH-15</t>
        </is>
      </c>
      <c r="B19" s="27" t="inlineStr">
        <is>
          <t>Packaging &amp; CI</t>
        </is>
      </c>
      <c r="C19" s="27" t="inlineStr">
        <is>
          <t>Docker Compose; GitHub Actions; immutable images; manifests</t>
        </is>
      </c>
      <c r="D19" s="27" t="inlineStr">
        <is>
          <t>M0→M8</t>
        </is>
      </c>
      <c r="E19" s="27" t="inlineStr">
        <is>
          <t>Có scaffold</t>
        </is>
      </c>
      <c r="F19" s="27" t="inlineStr">
        <is>
          <t>Run locally early; AI gates and same artifact promotion; versioned data/model/knowledge rollback</t>
        </is>
      </c>
      <c r="G19" s="27" t="inlineStr">
        <is>
          <t>SRC-16; SRC-15; SRC-02 §15–16</t>
        </is>
      </c>
    </row>
    <row r="20" ht="45.75" customHeight="1">
      <c r="A20" s="29" t="inlineStr">
        <is>
          <t>TECH-16</t>
        </is>
      </c>
      <c r="B20" s="29" t="inlineStr">
        <is>
          <t>Cloud target</t>
        </is>
      </c>
      <c r="C20" s="29" t="inlineStr">
        <is>
          <t>Helm; Terraform; AWS EKS/ECR/S3/Secrets; OIDC and per-service identity</t>
        </is>
      </c>
      <c r="D20" s="29" t="inlineStr">
        <is>
          <t>M8; production rollout conditional</t>
        </is>
      </c>
      <c r="E20" s="29" t="inlineStr">
        <is>
          <t>Target docs; chưa chứng minh live</t>
        </is>
      </c>
      <c r="F20" s="29" t="inlineStr">
        <is>
          <t>Minimal package validate; actual cloud needs access/budget/reviewer; production-grade scaling/HA thêm roadmap; không lấy quota free tier làm cam kết</t>
        </is>
      </c>
      <c r="G20" s="29" t="inlineStr">
        <is>
          <t>SRC-02 §14.3,16; SRC-05 §7; DEC-11</t>
        </is>
      </c>
    </row>
  </sheetData>
  <autoFilter ref="A4:G20"/>
  <mergeCells count="2">
    <mergeCell ref="A1:G1"/>
    <mergeCell ref="A2:G2"/>
  </mergeCells>
  <hyperlinks>
    <hyperlink ref="A3" location="'Cover Page'!A1" display="← Cover Page"/>
  </hyperlinks>
  <pageMargins left="0.7" right="0.7" top="0.75" bottom="0.75" header="0.3" footer="0.3"/>
  <pageSetup orientation="landscape" paperSize="8" fitToHeight="0"/>
  <headerFooter>
    <oddHeader/>
    <oddFooter>&amp;CSenticRAG | Kế hoạch triển khai | &amp;P /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FF087E8B"/>
    <outlinePr summaryBelow="1" summaryRight="1"/>
    <pageSetUpPr fitToPage="1"/>
  </sheetPr>
  <dimension ref="A1:G25"/>
  <sheetViews>
    <sheetView showGridLines="0" zoomScale="85" zoomScaleNormal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.7109375" customWidth="1" min="1" max="1"/>
    <col width="42.7109375" customWidth="1" min="2" max="2"/>
    <col width="85.7109375" customWidth="1" min="3" max="3"/>
    <col width="115.7109375" customWidth="1" min="4" max="4"/>
    <col width="45.7109375" customWidth="1" min="5" max="5"/>
    <col width="35.7109375" customWidth="1" min="6" max="6"/>
    <col width="95.7109375" customWidth="1" min="7" max="7"/>
  </cols>
  <sheetData>
    <row r="1" ht="36" customHeight="1">
      <c r="A1" s="7" t="inlineStr">
        <is>
          <t>DECISION LOG | giả định và mâu thuẫn cần chốt</t>
        </is>
      </c>
    </row>
    <row r="2" ht="36" customHeight="1">
      <c r="A2" s="8" t="inlineStr">
        <is>
          <t>Instruction mới nhất của người dùng: 14 tuần, bắt đầu 26/10/2026, một người, chatbot trước. Các lựa chọn kỹ thuật/ngưỡng chưa được xác nhận phải được chốt tại gate được ghi.</t>
        </is>
      </c>
    </row>
    <row r="3">
      <c r="A3" s="9" t="inlineStr">
        <is>
          <t>← Cover Page</t>
        </is>
      </c>
    </row>
    <row r="4" ht="33.75" customHeight="1">
      <c r="A4" s="26" t="inlineStr">
        <is>
          <t>Decision ID</t>
        </is>
      </c>
      <c r="B4" s="26" t="inlineStr">
        <is>
          <t>Chủ đề</t>
        </is>
      </c>
      <c r="C4" s="26" t="inlineStr">
        <is>
          <t>Vấn đề / nguồn khác nhau</t>
        </is>
      </c>
      <c r="D4" s="26" t="inlineStr">
        <is>
          <t>Quyết định đề xuất</t>
        </is>
      </c>
      <c r="E4" s="26" t="inlineStr">
        <is>
          <t>Trạng thái</t>
        </is>
      </c>
      <c r="F4" s="26" t="inlineStr">
        <is>
          <t>Hạn / task chốt</t>
        </is>
      </c>
      <c r="G4" s="26" t="inlineStr">
        <is>
          <t>Ảnh hưởng / xử lý</t>
        </is>
      </c>
    </row>
    <row r="5" ht="45.75" customHeight="1">
      <c r="A5" s="27" t="inlineStr">
        <is>
          <t>DEC-01</t>
        </is>
      </c>
      <c r="B5" s="27" t="inlineStr">
        <is>
          <t>Lịch và nhân lực</t>
        </is>
      </c>
      <c r="C5" s="27" t="inlineStr">
        <is>
          <t>User: 14 tuần từ 26/10/2026; chỉ 1 người</t>
        </is>
      </c>
      <c r="D5" s="27" t="inlineStr">
        <is>
          <t>14 tuần đến 31/01/2027; làm việc cuối 29/01; 5 ngày/tuần, 1 ngày=8h; 60 ngày task + 10 slot dự phòng/nghỉ. 01/01/2027 dành 1 slot nghỉ dự kiến; còn 9 ngày dự phòng thực.</t>
        </is>
      </c>
      <c r="E5" s="27" t="inlineStr">
        <is>
          <t>Đã xác nhận lịch/người; giờ/nghỉ là giả định</t>
        </is>
      </c>
      <c r="F5" s="27" t="inlineStr">
        <is>
          <t>M0.G</t>
        </is>
      </c>
      <c r="G5" s="27" t="inlineStr">
        <is>
          <t>Nếu làm part-time/nghỉ thêm: dùng dự phòng rồi rebaseline; không song song nhiều vai trò.</t>
        </is>
      </c>
    </row>
    <row r="6" ht="45.75" customHeight="1">
      <c r="A6" s="29" t="inlineStr">
        <is>
          <t>DEC-02</t>
        </is>
      </c>
      <c r="B6" s="29" t="inlineStr">
        <is>
          <t>Phạm vi một người</t>
        </is>
      </c>
      <c r="C6" s="29" t="inlineStr">
        <is>
          <t>Full blueprint gồm nhiều tầng enterprise; 14 tuần không đồng nghĩa production đạt hết</t>
        </is>
      </c>
      <c r="D6" s="29" t="inlineStr">
        <is>
          <t>Cam kết phạm vi bounded demo 5 personas; every requirement có coverage. Optional advanced được deferred; cloud/real CRM/business pilot có gate phụ thuộc.</t>
        </is>
      </c>
      <c r="E6" s="29" t="inlineStr">
        <is>
          <t>Đề xuất kế hoạch</t>
        </is>
      </c>
      <c r="F6" s="29" t="inlineStr">
        <is>
          <t>M0.G</t>
        </is>
      </c>
      <c r="G6" s="29" t="inlineStr">
        <is>
          <t>Không tuyên bố toàn bộ target architecture đã production-ready; gate thất bại cần kế hoạch sửa.</t>
        </is>
      </c>
    </row>
    <row r="7" ht="45.75" customHeight="1">
      <c r="A7" s="27" t="inlineStr">
        <is>
          <t>DEC-03</t>
        </is>
      </c>
      <c r="B7" s="27" t="inlineStr">
        <is>
          <t>FRT 30s/60s và pipeline &lt;2s</t>
        </is>
      </c>
      <c r="C7" s="27" t="inlineStr">
        <is>
          <t>User story &lt;30s; acceptance/blueprint &lt;60s; architecture pipeline &lt;2s</t>
        </is>
      </c>
      <c r="D7" s="27" t="inlineStr">
        <is>
          <t>Chat MVP standard scenarios: full response &lt;60s trên bộ test; &lt;30s stretch. Architecture-target Pipeline B &lt;2s đến guarded output gồm mọi stage route dùng; báo stage times, TTFT và chờ approval riêng, không thay target bằng first-token. Khóa boundary/percentile/concurrency tại G0; xem DEC-18.</t>
        </is>
      </c>
      <c r="E7" s="27" t="inlineStr">
        <is>
          <t>Cần chốt tại G0</t>
        </is>
      </c>
      <c r="F7" s="27" t="inlineStr">
        <is>
          <t>M0.G; M2.G; M8.4</t>
        </is>
      </c>
      <c r="G7" s="27" t="inlineStr">
        <is>
          <t>FRT đo từ gửi ticket đến phản hồi đầu hữu ích; TTFT và full latency báo riêng, sample/hardware rõ.</t>
        </is>
      </c>
    </row>
    <row r="8" ht="106.69" customHeight="1">
      <c r="A8" s="29" t="inlineStr">
        <is>
          <t>DEC-04</t>
        </is>
      </c>
      <c r="B8" s="29" t="inlineStr">
        <is>
          <t>Unsupported action / citations / business KPI</t>
        </is>
      </c>
      <c r="C8" s="29" t="inlineStr">
        <is>
          <t>Acceptance zero promises; architecture ≤1% actions, ≥95% completeness; FCR +15% chưa rõ đơn vị</t>
        </is>
      </c>
      <c r="D8" s="29" t="inlineStr">
        <is>
          <t>Zero unsupported policy/refund commitments trên critical suite; generic unsupported-action rate báo riêng. Policy claims cần citation 100%, completeness chung ≥95%. FCR +15% tạm hiểu tương đối, chốt baseline/denominator tại G0.</t>
        </is>
      </c>
      <c r="E8" s="29" t="inlineStr">
        <is>
          <t>Cần chốt ngưỡng/định nghĩa</t>
        </is>
      </c>
      <c r="F8" s="29" t="inlineStr">
        <is>
          <t>M0.G; M3.7; M8.7</t>
        </is>
      </c>
      <c r="G8" s="29" t="inlineStr">
        <is>
          <t>Mục tiêu business AHT ≥40%, FCR ≥15%, draft accept ≥80% chưa là kết quả; real pilot mới validate.</t>
        </is>
      </c>
    </row>
    <row r="9" ht="45.75" customHeight="1">
      <c r="A9" s="27" t="inlineStr">
        <is>
          <t>DEC-05</t>
        </is>
      </c>
      <c r="B9" s="27" t="inlineStr">
        <is>
          <t>ABSA/Recall và latency targets</t>
        </is>
      </c>
      <c r="C9" s="27" t="inlineStr">
        <is>
          <t>Research ghi MVP F1 .80; acceptance .85; Recall@5 .88/@10 .85; p95 250/300ms giả định</t>
        </is>
      </c>
      <c r="D9" s="27" t="inlineStr">
        <is>
          <t>Demo classification floor .80, critical aspect .75 nếu khóa G0; architecture-target classification/polarity và ATE ≥.85, ATE đo riêng theo Q-09/DEC-18. Báo Recall@5 và @10 trên cùng ranked list/query set; @10 không thấp hơn @5. Tất cả latency trên hardware/corpus pin.</t>
        </is>
      </c>
      <c r="E9" s="27" t="inlineStr">
        <is>
          <t>Targets cần baseline; không sửa số đo</t>
        </is>
      </c>
      <c r="F9" s="27" t="inlineStr">
        <is>
          <t>M0.G; M4.4; M5.3</t>
        </is>
      </c>
      <c r="G9" s="27" t="inlineStr">
        <is>
          <t>Ngưỡng Recall@10 thấp hơn @5 là floor yếu hơn, không phải kỳ vọng Recall giảm. Model failure không tự giảm gate.</t>
        </is>
      </c>
    </row>
    <row r="10" ht="106.69" customHeight="1">
      <c r="A10" s="29" t="inlineStr">
        <is>
          <t>DEC-06</t>
        </is>
      </c>
      <c r="B10" s="29" t="inlineStr">
        <is>
          <t>Ontology và trạng thái nguyên nhân</t>
        </is>
      </c>
      <c r="C10" s="29" t="inlineStr">
        <is>
          <t>Blueprint có Issue/Firmware/Evidence/Team; schema rút gọn lấy RootCause trung tâm; status names khác</t>
        </is>
      </c>
      <c r="D10" s="29" t="inlineStr">
        <is>
          <t>Canonical Issue-centered ontology theo blueprint; adapter cho schema rút gọn; tách issue vs root-cause states; cause hypothesis/under_review/confirmed/rejected; issue emerging/investigating/confirmed/mitigated/monitored/closed.</t>
        </is>
      </c>
      <c r="E10" s="29" t="inlineStr">
        <is>
          <t>Đề xuất ADR</t>
        </is>
      </c>
      <c r="F10" s="29" t="inlineStr">
        <is>
          <t>M0.3; M6.1</t>
        </is>
      </c>
      <c r="G10" s="29" t="inlineStr">
        <is>
          <t>Chu trình graph hợp lệ không cấm toàn cục; chỉ kiểm chu trình trái invariant. Knowledge freshness &lt;24h là target cần đo.</t>
        </is>
      </c>
    </row>
    <row r="11" ht="45.75" customHeight="1">
      <c r="A11" s="27" t="inlineStr">
        <is>
          <t>DEC-07</t>
        </is>
      </c>
      <c r="B11" s="27" t="inlineStr">
        <is>
          <t>API và schemas chưa đủ chatbot</t>
        </is>
      </c>
      <c r="C11" s="27" t="inlineStr">
        <is>
          <t>Blueprint cũ /v1/... khác README /api/v1/...; FeedbackRecord bắt product_id; Citation thiếu URL/version</t>
        </is>
      </c>
      <c r="D11" s="27" t="inlineStr">
        <is>
          <t>Giữ /api/v1 hiện có, thêm /chat/messages, schema conversation riêng; mở rộng citation và investigation; status enum; legacy endpoints deprecated; migration tương thích.</t>
        </is>
      </c>
      <c r="E11" s="27" t="inlineStr">
        <is>
          <t>Đề xuất chuẩn canonical</t>
        </is>
      </c>
      <c r="F11" s="27" t="inlineStr">
        <is>
          <t>M0.3; M2.5; M5.3</t>
        </is>
      </c>
      <c r="G11" s="27" t="inlineStr">
        <is>
          <t>Không chặn hỏi chính sách chung do thiếu product. Ghi OpenAPI version và contract tests.</t>
        </is>
      </c>
    </row>
    <row r="12" ht="45.75" customHeight="1">
      <c r="A12" s="29" t="inlineStr">
        <is>
          <t>DEC-08</t>
        </is>
      </c>
      <c r="B12" s="29" t="inlineStr">
        <is>
          <t>BM25 backend, queue và scale</t>
        </is>
      </c>
      <c r="C12" s="29" t="inlineStr">
        <is>
          <t>README BM25 ngoài/Qdrant; data spec server-side sparse; worker nhắc Redis/Kafka, README Celery</t>
        </is>
      </c>
      <c r="D12" s="29" t="inlineStr">
        <is>
          <t>Demo một Redis Streams worker; local BM25 làm reference; dense+BM25+RRF contract ổn định. Chọn server-side sparse sau parity/filter benchmark; API modular monolith + worker.</t>
        </is>
      </c>
      <c r="E12" s="29" t="inlineStr">
        <is>
          <t>Đề xuất đơn giản hóa triển khai</t>
        </is>
      </c>
      <c r="F12" s="29" t="inlineStr">
        <is>
          <t>M0.3; M2.2; M4.5</t>
        </is>
      </c>
      <c r="G12" s="29" t="inlineStr">
        <is>
          <t>Không đưa Kafka/Celery/microservices vào cùng sprint; độc lập scale là boundary thiết kế và roadmap.</t>
        </is>
      </c>
    </row>
    <row r="13" ht="45.75" customHeight="1">
      <c r="A13" s="27" t="inlineStr">
        <is>
          <t>DEC-09</t>
        </is>
      </c>
      <c r="B13" s="27" t="inlineStr">
        <is>
          <t>Dữ liệu, taxonomy và router</t>
        </is>
      </c>
      <c r="C13" s="27" t="inlineStr">
        <is>
          <t>UIT count/split minh họa; 10 aspect vs macro categories; 3-class router không có policy Q&amp;A</t>
        </is>
      </c>
      <c r="D13" s="27" t="inlineStr">
        <is>
          <t>Xác minh license/count/split chính thức; freeze taxonomy mapping; bổ sung domain labels; policy_query subintent thuộc service/chat branch; paired aspect-polarity payload.</t>
        </is>
      </c>
      <c r="E13" s="27" t="inlineStr">
        <is>
          <t>Cần khóa tại G0/G4</t>
        </is>
      </c>
      <c r="F13" s="27" t="inlineStr">
        <is>
          <t>M0.3; M4.1; M4.6</t>
        </is>
      </c>
      <c r="G13" s="27" t="inlineStr">
        <is>
          <t>Synthetic không là production evidence; unsupported language rõ; dataset span không tự suy từ category labels.</t>
        </is>
      </c>
    </row>
    <row r="14" ht="45.75" customHeight="1">
      <c r="A14" s="29" t="inlineStr">
        <is>
          <t>DEC-10</t>
        </is>
      </c>
      <c r="B14" s="29" t="inlineStr">
        <is>
          <t>LLM/model/provider và thiếu benchmark</t>
        </is>
      </c>
      <c r="C14" s="29" t="inlineStr">
        <is>
          <t>Docs không khóa provider; embedding dimension/model candidates khác nhau; confidence .70 chưa calibrate</t>
        </is>
      </c>
      <c r="D14" s="29" t="inlineStr">
        <is>
          <t>Smoke chọn tại M0.3 theo tiếng Việt/schema/cost/access; config/version pin; confidence chỉ dùng khi có calibration hoặc rubric; .70 là rule thử nghiệm phải validate.</t>
        </is>
      </c>
      <c r="E14" s="29" t="inlineStr">
        <is>
          <t>Chưa chọn model; không chặn lập kế hoạch</t>
        </is>
      </c>
      <c r="F14" s="29" t="inlineStr">
        <is>
          <t>M0.3; M2.4; M4.4</t>
        </is>
      </c>
      <c r="G14" s="29" t="inlineStr">
        <is>
          <t>Thiếu key/compute chuyển resource blocker, không thay bằng response hardcoded rồi gọi hoàn thành.</t>
        </is>
      </c>
    </row>
    <row r="15" ht="45.75" customHeight="1">
      <c r="A15" s="27" t="inlineStr">
        <is>
          <t>DEC-11</t>
        </is>
      </c>
      <c r="B15" s="27" t="inlineStr">
        <is>
          <t>Cloud và giới hạn free tier</t>
        </is>
      </c>
      <c r="C15" s="27" t="inlineStr">
        <is>
          <t>Docs nêu EKS/HA/GPU/scaling và quota RAM/node cụ thể nhưng chưa có deployment evidence</t>
        </is>
      </c>
      <c r="D15" s="27" t="inlineStr">
        <is>
          <t>Compose demo bắt buộc; IaC package core M8; live EKS/CRM/prod phụ thuộc quyền/budget/reviewer; đo actual sizing, không kế thừa quota/số RAM chưa xác minh.</t>
        </is>
      </c>
      <c r="E15" s="27" t="inlineStr">
        <is>
          <t>Resource gate</t>
        </is>
      </c>
      <c r="F15" s="27" t="inlineStr">
        <is>
          <t>M0.3; M8.2–M8.3</t>
        </is>
      </c>
      <c r="G15" s="27" t="inlineStr">
        <is>
          <t>Thiếu resource: cloud gate BLOCKED/NOT_RUN; không thế bằng local pass; plan production mở rộng sau demo.</t>
        </is>
      </c>
    </row>
    <row r="16" ht="45.75" customHeight="1">
      <c r="A16" s="29" t="inlineStr">
        <is>
          <t>DEC-12</t>
        </is>
      </c>
      <c r="B16" s="29" t="inlineStr">
        <is>
          <t>Nguồn lịch sử và bảo vệ dữ liệu</t>
        </is>
      </c>
      <c r="C16" s="29" t="inlineStr">
        <is>
          <t>Research còn nhắc kiosk/old docs; Final_project tham chiếu file không có; legal claims chưa kiểm chứng độc lập</t>
        </is>
      </c>
      <c r="D16" s="29" t="inlineStr">
        <is>
          <t>Lấy user instruction + current product/architecture làm chuẩn; research dùng eval/NFR/baseline. Ghi nguồn thiếu; privacy controls triển khai; legal/licensing sign-off giao owner, không claim compliance.</t>
        </is>
      </c>
      <c r="E16" s="29" t="inlineStr">
        <is>
          <t>Source precedence</t>
        </is>
      </c>
      <c r="F16" s="29" t="inlineStr">
        <is>
          <t>M0.1; M7.4; M8.5</t>
        </is>
      </c>
      <c r="G16" s="29" t="inlineStr">
        <is>
          <t>Không đưa ASR/TTS kiosk thành requirement SenticRAG; không tự thực thi policy theo văn bản luật trích dẫn chưa rà soát.</t>
        </is>
      </c>
    </row>
    <row r="17" ht="45.75" customHeight="1">
      <c r="A17" s="27" t="inlineStr">
        <is>
          <t>DEC-13</t>
        </is>
      </c>
      <c r="B17" s="27" t="inlineStr">
        <is>
          <t>Human reviewer khi chỉ một developer</t>
        </is>
      </c>
      <c r="C17" s="27" t="inlineStr">
        <is>
          <t>5 personas gồm agent/steward; governance cần người được ủy quyền</t>
        </is>
      </c>
      <c r="D17" s="27" t="inlineStr">
        <is>
          <t>Dev mô phỏng roles bằng accounts tách trong demo; tự review theo checklist có evidence. External UAT/production approval chỉ ghi Done khi người có thẩm quyền thực sự duyệt.</t>
        </is>
      </c>
      <c r="E17" s="27" t="inlineStr">
        <is>
          <t>Giới hạn kiểm chứng</t>
        </is>
      </c>
      <c r="F17" s="27" t="inlineStr">
        <is>
          <t>M0.G; M6.6; M8.6</t>
        </is>
      </c>
      <c r="G17" s="27" t="inlineStr">
        <is>
          <t>Không bịa nhóm 3 người từ template; không gán tên thành viên dự án khác.</t>
        </is>
      </c>
    </row>
    <row r="18" ht="45.75" customHeight="1">
      <c r="A18" s="29" t="inlineStr">
        <is>
          <t>DEC-14</t>
        </is>
      </c>
      <c r="B18" s="29" t="inlineStr">
        <is>
          <t>PII và policy applicability</t>
        </is>
      </c>
      <c r="C18" s="29" t="inlineStr">
        <is>
          <t>100% masking/context trong acceptance là target tuyệt đối; policy crawl thiếu ngày hiệu lực</t>
        </is>
      </c>
      <c r="D18" s="29" t="inlineStr">
        <is>
          <t>Kiểm 0 leaks trên suite có scope; entity/date thiếu → unknown/review, không tự điền. 100% context availability hiểu có trạng thái known/missing/unauthorized rõ, không invent order.</t>
        </is>
      </c>
      <c r="E18" s="29" t="inlineStr">
        <is>
          <t>Cần chốt acceptance scope</t>
        </is>
      </c>
      <c r="F18" s="29" t="inlineStr">
        <is>
          <t>M1.3; M3.2; M8.5</t>
        </is>
      </c>
      <c r="G18" s="29" t="inlineStr">
        <is>
          <t>Production redaction/generalization cần audit thêm; chưa có identity liên kết thì phải xác minh.</t>
        </is>
      </c>
    </row>
    <row r="19" ht="125" customHeight="1">
      <c r="A19" s="29" t="inlineStr">
        <is>
          <t>DEC-15</t>
        </is>
      </c>
      <c r="B19" s="29" t="inlineStr">
        <is>
          <t>Driver và migration PostgreSQL</t>
        </is>
      </c>
      <c r="C19" s="29" t="inlineStr">
        <is>
          <t>TECH-03 đã yêu cầu migrations nhưng chưa chọn thư viện; pyproject chưa khai báo driver</t>
        </is>
      </c>
      <c r="D19" s="29" t="inlineStr">
        <is>
          <t>Chọn SQLAlchemy 2.x + psycopg[binary] 3.x + Alembic cho ứng dụng; lock phiên bản sau smoke; một migration owner</t>
        </is>
      </c>
      <c r="E19" s="29" t="inlineStr">
        <is>
          <t>Chọn cho kế hoạch; chưa triển khai</t>
        </is>
      </c>
      <c r="F19" s="29" t="inlineStr">
        <is>
          <t>M0.3–M0.4; M2.5</t>
        </is>
      </c>
      <c r="G19" s="29" t="inlineStr">
        <is>
          <t>Phân biệt ORM/driver/migration; kiểm DB rỗng, upgrade, transaction và restore; không coi dependency là chức năng đã xong.</t>
        </is>
      </c>
    </row>
    <row r="20" ht="125" customHeight="1">
      <c r="A20" s="29" t="inlineStr">
        <is>
          <t>DEC-16</t>
        </is>
      </c>
      <c r="B20" s="29" t="inlineStr">
        <is>
          <t>Một web app cho demo</t>
        </is>
      </c>
      <c r="C20" s="29" t="inlineStr">
        <is>
          <t>TECH-02 mới dùng chung component; module paths vẫn tách frontend</t>
        </is>
      </c>
      <c r="D20" s="29" t="inlineStr">
        <is>
          <t>Một apps/web, một build/deploy, bốn khu vực cho Buyer, Agent, Analyst/PM và Steward; mở dần M2/M3/M5/M6/M7</t>
        </is>
      </c>
      <c r="E20" s="29" t="inlineStr">
        <is>
          <t>Chọn cho kế hoạch; chưa triển khai</t>
        </is>
      </c>
      <c r="F20" s="29" t="inlineStr">
        <is>
          <t>M0.2–M0.4; M2.6; M3.5; M5; M6.6; M7</t>
        </is>
      </c>
      <c r="G20" s="29" t="inlineStr">
        <is>
          <t>Giữ đủ năm personas và API authorization; các scaffold cũ không là project frontend riêng; không khẳng định tiết kiệm 70%.</t>
        </is>
      </c>
    </row>
    <row r="21" ht="125" customHeight="1">
      <c r="A21" s="29" t="inlineStr">
        <is>
          <t>DEC-17</t>
        </is>
      </c>
      <c r="B21" s="29" t="inlineStr">
        <is>
          <t>FSM và LangGraph</t>
        </is>
      </c>
      <c r="C21" s="29" t="inlineStr">
        <is>
          <t>re.txt coi LangGraph là dependency bắt buộc, khác TECH-09 baseline</t>
        </is>
      </c>
      <c r="D21" s="29" t="inlineStr">
        <is>
          <t>Giữ Python bounded FSM có PostgreSQL state/review journal. LangGraph StateGraph + langgraph-checkpoint-postgres chỉ thay baseline nếu ADR M0 chứng minh pause/restart/resume và phù hợp effort; nếu không giữ FSM</t>
        </is>
      </c>
      <c r="E21" s="29" t="inlineStr">
        <is>
          <t>LangGraph là phương án có điều kiện; chưa chọn</t>
        </is>
      </c>
      <c r="F21" s="29" t="inlineStr">
        <is>
          <t>M0.3–M0.G; M3.4</t>
        </is>
      </c>
      <c r="G21" s="29" t="inlineStr">
        <is>
          <t>Không dựng cả hai runtime. Nếu chọn: stable thread ID gắn ownership, checkpointer setup/upgrade riêng, một reflection tối đa, audit và action idempotency; M0 hết timebox chưa đủ evidence thì giữ FSM.</t>
        </is>
      </c>
    </row>
    <row r="22" ht="145" customHeight="1">
      <c r="A22" s="29" t="inlineStr">
        <is>
          <t>DEC-18</t>
        </is>
      </c>
      <c r="B22" s="29" t="inlineStr">
        <is>
          <t>Demo và chuẩn kiến trúc</t>
        </is>
      </c>
      <c r="C22" s="29" t="inlineStr">
        <is>
          <t>SRC-05 yêu cầu ATE/polarity ≥.85, Pipeline B &lt;2s; research có demo .80 và giả định latency</t>
        </is>
      </c>
      <c r="D22" s="29" t="inlineStr">
        <is>
          <t>Giữ hai profile nghiệm thu: demo và architecture-target. Không hạ ngưỡng SRC-05 bằng demo pass; ATE thiếu labels/test là NOT VALIDATED; reranker tắt là deviation có benchmark/ADR</t>
        </is>
      </c>
      <c r="E22" s="29" t="inlineStr">
        <is>
          <t>Quy tắc kế hoạch; metric definitions khóa G0</t>
        </is>
      </c>
      <c r="F22" s="29" t="inlineStr">
        <is>
          <t>M0.G; M2.G; M4.G; M8.G</t>
        </is>
      </c>
      <c r="G22" s="29" t="inlineStr">
        <is>
          <t>Ghi kết quả riêng cho quality, topology, cloud và business; .80/demo &lt;60s không chứng nhận đạt toàn kiến trúc.</t>
        </is>
      </c>
    </row>
    <row r="23" ht="145" customHeight="1">
      <c r="A23" s="29" t="inlineStr">
        <is>
          <t>DEC-19</t>
        </is>
      </c>
      <c r="B23" s="29" t="inlineStr">
        <is>
          <t>Delivery và knowledge consistency</t>
        </is>
      </c>
      <c r="C23" s="29" t="inlineStr">
        <is>
          <t>DB commit rồi queue/publish nhiều stores có cửa sổ mất event hoặc trộn version</t>
        </is>
      </c>
      <c r="D23" s="29" t="inlineStr">
        <is>
          <t>PostgreSQL outbox + at-least-once dispatch/consumer idempotency; knowledge snapshots được verify rồi publish active manifest bằng SQL transaction; request pin release</t>
        </is>
      </c>
      <c r="E23" s="29" t="inlineStr">
        <is>
          <t>Chọn thiết kế cho kế hoạch; chưa triển khai</t>
        </is>
      </c>
      <c r="F23" s="29" t="inlineStr">
        <is>
          <t>M4.5; M6.6–M6.7; M8.5</t>
        </is>
      </c>
      <c r="G23" s="29" t="inlineStr">
        <is>
          <t>Fault tests/replay/reconcile bắt buộc; không tuyên bố exactly-once hay distributed ACID giữa SQL/Redis/Qdrant/Neo4j.</t>
        </is>
      </c>
    </row>
    <row r="24" ht="145" customHeight="1">
      <c r="A24" s="29" t="inlineStr">
        <is>
          <t>DEC-20</t>
        </is>
      </c>
      <c r="B24" s="29" t="inlineStr">
        <is>
          <t>7 tầng triển khai theo thời điểm dùng</t>
        </is>
      </c>
      <c r="C24" s="29" t="inlineStr">
        <is>
          <t>M2 dùng LLM nhưng rate limit ở M4; planning/MCP mới nêu chung</t>
        </is>
      </c>
      <c r="D24" s="29" t="inlineStr">
        <is>
          <t>M2 có gateway guardrails/rate limit; M3 có typed plan, recall và MCP protocol integration; M4 mở rộng router/triage; M6 thêm graph evidence</t>
        </is>
      </c>
      <c r="E24" s="29" t="inlineStr">
        <is>
          <t>Bổ sung tiêu chí cho các task hiện hữu</t>
        </is>
      </c>
      <c r="F24" s="29" t="inlineStr">
        <is>
          <t>M0.G; M2.5; M3.4; M4.6</t>
        </is>
      </c>
      <c r="G24" s="29" t="inlineStr">
        <is>
          <t>Không thêm nhiều agent runtime; giữ module boundaries và source-of-truth; effort cần rà G0.</t>
        </is>
      </c>
    </row>
    <row r="25" ht="145" customHeight="1">
      <c r="A25" s="29" t="inlineStr">
        <is>
          <t>DEC-21</t>
        </is>
      </c>
      <c r="B25" s="29" t="inlineStr">
        <is>
          <t>Nguồn hiện tại và lịch sử</t>
        </is>
      </c>
      <c r="C25" s="29" t="inlineStr">
        <is>
          <t>Planning lập từ 9083135 khác develop eb194ff; một số nguồn vắng và hash kiến trúc cũ</t>
        </is>
      </c>
      <c r="D25" s="29" t="inlineStr">
        <is>
          <t>Ưu tiên yêu cầu người dùng; SRC-05 cho 7 tầng/target, SRC-02 bổ sung; mâu thuẫn phải ghi ADR. SRC-06/10..13 trỏ blob 9083135 thay link local hỏng</t>
        </is>
      </c>
      <c r="E25" s="29" t="inlineStr">
        <is>
          <t>Đã đối chiếu nguồn; không duyệt data</t>
        </is>
      </c>
      <c r="F25" s="29" t="inlineStr">
        <is>
          <t>M0.1; M0.G; mỗi lần rebaseline</t>
        </is>
      </c>
      <c r="G25" s="29" t="inlineStr">
        <is>
          <t>Báo cáo audit tách requirement gốc, lựa chọn demo, điều kiện còn mở và thiếu evidence; không sửa đặc tả nguồn để hợp thức hóa plan.</t>
        </is>
      </c>
    </row>
  </sheetData>
  <autoFilter ref="A4:G25"/>
  <mergeCells count="2">
    <mergeCell ref="A1:G1"/>
    <mergeCell ref="A2:G2"/>
  </mergeCells>
  <hyperlinks>
    <hyperlink ref="A3" location="'Cover Page'!A1" display="← Cover Page"/>
  </hyperlinks>
  <pageMargins left="0.7" right="0.7" top="0.75" bottom="0.75" header="0.3" footer="0.3"/>
  <pageSetup orientation="landscape" paperSize="8" fitToHeight="0"/>
  <headerFooter>
    <oddHeader/>
    <oddFooter>&amp;CSenticRAG | Kế hoạch triển khai | &amp;P /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FF087E8B"/>
    <outlinePr summaryBelow="1" summaryRight="1"/>
    <pageSetUpPr fitToPage="1"/>
  </sheetPr>
  <dimension ref="A1:H12"/>
  <sheetViews>
    <sheetView showGridLines="0" zoomScale="85" zoomScaleNormal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.7109375" customWidth="1" min="1" max="1"/>
    <col width="70.7109375" customWidth="1" min="2" max="2"/>
    <col width="36.7109375" customWidth="1" min="3" max="3"/>
    <col width="40.7109375" customWidth="1" min="4" max="4"/>
    <col width="50.7109375" customWidth="1" min="5" max="5"/>
    <col width="95.7109375" customWidth="1" min="6" max="6"/>
    <col width="90.7109375" customWidth="1" min="7" max="7"/>
    <col width="95.7109375" customWidth="1" min="8" max="8"/>
  </cols>
  <sheetData>
    <row r="1" ht="36" customHeight="1">
      <c r="A1" s="7" t="inlineStr">
        <is>
          <t>EXTENSIONS | phạm vi conditional / sau tuần 14</t>
        </is>
      </c>
    </row>
    <row r="2" ht="36" customHeight="1">
      <c r="A2" s="8" t="inlineStr">
        <is>
          <t>Các mục này vẫn được bao phủ trong traceability. Không tính effort triển khai extension vào 60 ngày core và không đánh dấu Done khi chỉ viết ADR.</t>
        </is>
      </c>
    </row>
    <row r="3">
      <c r="A3" s="9" t="inlineStr">
        <is>
          <t>← Cover Page</t>
        </is>
      </c>
    </row>
    <row r="4" ht="33.75" customHeight="1">
      <c r="A4" s="26" t="inlineStr">
        <is>
          <t>ID</t>
        </is>
      </c>
      <c r="B4" s="26" t="inlineStr">
        <is>
          <t>Hạng mục</t>
        </is>
      </c>
      <c r="C4" s="26" t="inlineStr">
        <is>
          <t>Scope</t>
        </is>
      </c>
      <c r="D4" s="26" t="inlineStr">
        <is>
          <t>Task xem xét trong 14 tuần</t>
        </is>
      </c>
      <c r="E4" s="26" t="inlineStr">
        <is>
          <t>Nguồn</t>
        </is>
      </c>
      <c r="F4" s="26" t="inlineStr">
        <is>
          <t>Entry criteria</t>
        </is>
      </c>
      <c r="G4" s="26" t="inlineStr">
        <is>
          <t>Output cần có khi triển khai</t>
        </is>
      </c>
      <c r="H4" s="26" t="inlineStr">
        <is>
          <t>Ranh giới với core</t>
        </is>
      </c>
    </row>
    <row r="5" ht="35.25" customHeight="1">
      <c r="A5" s="27" t="inlineStr">
        <is>
          <t>EXT-01</t>
        </is>
      </c>
      <c r="B5" s="27" t="inlineStr">
        <is>
          <t>Global GraphRAG / DRIFT-like query</t>
        </is>
      </c>
      <c r="C5" s="27" t="inlineStr">
        <is>
          <t>Deferred sau W14</t>
        </is>
      </c>
      <c r="D5" s="27" t="inlineStr">
        <is>
          <t>M6.9</t>
        </is>
      </c>
      <c r="E5" s="27" t="inlineStr">
        <is>
          <t>SRC-02 §7.7B,18 Phase5</t>
        </is>
      </c>
      <c r="F5" s="27" t="inlineStr">
        <is>
          <t>Cần query set global + local/warehouse baseline + token/cost budget</t>
        </is>
      </c>
      <c r="G5" s="27" t="inlineStr">
        <is>
          <t>Implement bounded experiment; quality/cost report; chỉ promote nếu gain</t>
        </is>
      </c>
      <c r="H5" s="27" t="inlineStr">
        <is>
          <t>Không cần cho 5 demo stories local entity-centered</t>
        </is>
      </c>
    </row>
    <row r="6" ht="35.25" customHeight="1">
      <c r="A6" s="29" t="inlineStr">
        <is>
          <t>EXT-02</t>
        </is>
      </c>
      <c r="B6" s="29" t="inlineStr">
        <is>
          <t>Autonomous multi-step actions / proactive outreach</t>
        </is>
      </c>
      <c r="C6" s="29" t="inlineStr">
        <is>
          <t>Deferred sau W14</t>
        </is>
      </c>
      <c r="D6" s="29" t="inlineStr">
        <is>
          <t>M6.9</t>
        </is>
      </c>
      <c r="E6" s="29" t="inlineStr">
        <is>
          <t>SRC-02 §18 Phase5</t>
        </is>
      </c>
      <c r="F6" s="29" t="inlineStr">
        <is>
          <t>Đã có policy rules, authorization, rollback/idempotency và approve action matrix</t>
        </is>
      </c>
      <c r="G6" s="29" t="inlineStr">
        <is>
          <t>Controlled action integration + verified delivery/outcome</t>
        </is>
      </c>
      <c r="H6" s="29" t="inlineStr">
        <is>
          <t>Chatbot M3 có tools/approval; tự động hoàn tiền/liên hệ chủ động chưa triển khai</t>
        </is>
      </c>
    </row>
    <row r="7" ht="45.75" customHeight="1">
      <c r="A7" s="27" t="inlineStr">
        <is>
          <t>EXT-03</t>
        </is>
      </c>
      <c r="B7" s="27" t="inlineStr">
        <is>
          <t>MicroVM isolation</t>
        </is>
      </c>
      <c r="C7" s="27" t="inlineStr">
        <is>
          <t>Conditional extension</t>
        </is>
      </c>
      <c r="D7" s="27" t="inlineStr">
        <is>
          <t>M3.8; M6.9</t>
        </is>
      </c>
      <c r="E7" s="27" t="inlineStr">
        <is>
          <t>SRC-05 L5; SRC-01</t>
        </is>
      </c>
      <c r="F7" s="27" t="inlineStr">
        <is>
          <t>Có nhu cầu chạy code không tin cậy và hạ tầng hỗ trợ; task isolation hiện tại không đủ</t>
        </is>
      </c>
      <c r="G7" s="27" t="inlineStr">
        <is>
          <t>MicroVM proof-of-concept và threat/resource tests</t>
        </is>
      </c>
      <c r="H7" s="27" t="inlineStr">
        <is>
          <t>14 tuần dùng allowlisted typed tools + task/container isolation; không gọi đây là microVM</t>
        </is>
      </c>
    </row>
    <row r="8" ht="35.25" customHeight="1">
      <c r="A8" s="29" t="inlineStr">
        <is>
          <t>EXT-04</t>
        </is>
      </c>
      <c r="B8" s="29" t="inlineStr">
        <is>
          <t>ASTE/ACOS / English expansion / alternative encoder roster</t>
        </is>
      </c>
      <c r="C8" s="29" t="inlineStr">
        <is>
          <t>Deferred sau W14</t>
        </is>
      </c>
      <c r="D8" s="29" t="inlineStr">
        <is>
          <t>M4.1; M6.9</t>
        </is>
      </c>
      <c r="E8" s="29" t="inlineStr">
        <is>
          <t>SRC-02 §7.3; SRC-07 ABSA</t>
        </is>
      </c>
      <c r="F8" s="29" t="inlineStr">
        <is>
          <t>Có labels opinion/span/category, quyền dataset và tài nguyên; core ABSA gate đã ổn</t>
        </is>
      </c>
      <c r="G8" s="29" t="inlineStr">
        <is>
          <t>Candidate comparisons, slices và model card</t>
        </is>
      </c>
      <c r="H8" s="29" t="inlineStr">
        <is>
          <t>MVP tiếng Việt; ATE chỉ nếu nhãn phù hợp; multi-language unsupported path vẫn có</t>
        </is>
      </c>
    </row>
    <row r="9" ht="45.75" customHeight="1">
      <c r="A9" s="27" t="inlineStr">
        <is>
          <t>EXT-05</t>
        </is>
      </c>
      <c r="B9" s="27" t="inlineStr">
        <is>
          <t>Live production EKS, HA/GPU autoscaling, availability validation</t>
        </is>
      </c>
      <c r="C9" s="27" t="inlineStr">
        <is>
          <t>Conditional resource + sau demo</t>
        </is>
      </c>
      <c r="D9" s="27" t="inlineStr">
        <is>
          <t>M8.2–M8.5</t>
        </is>
      </c>
      <c r="E9" s="27" t="inlineStr">
        <is>
          <t>SRC-02 §14–16; SRC-07 NFR</t>
        </is>
      </c>
      <c r="F9" s="27" t="inlineStr">
        <is>
          <t>Cloud account/budget, qualified reviewer, secrets/backup, đủ load/monitoring window</t>
        </is>
      </c>
      <c r="G9" s="27" t="inlineStr">
        <is>
          <t>Live deploy evidence; sustained SLO; scaling/restore; audited prod approval</t>
        </is>
      </c>
      <c r="H9" s="27" t="inlineStr">
        <is>
          <t>IaC minimal + local demo có trong core; live target chưa có evidence không được đóng</t>
        </is>
      </c>
    </row>
    <row r="10" ht="45.75" customHeight="1">
      <c r="A10" s="29" t="inlineStr">
        <is>
          <t>EXT-06</t>
        </is>
      </c>
      <c r="B10" s="29" t="inlineStr">
        <is>
          <t>Real CRM/commerce connectors và real business pilot</t>
        </is>
      </c>
      <c r="C10" s="29" t="inlineStr">
        <is>
          <t>Conditional data access</t>
        </is>
      </c>
      <c r="D10" s="29" t="inlineStr">
        <is>
          <t>M3.2; M8.7</t>
        </is>
      </c>
      <c r="E10" s="29" t="inlineStr">
        <is>
          <t>SRC-02 §7.1,8.2,13.5; SRC-03</t>
        </is>
      </c>
      <c r="F10" s="29" t="inlineStr">
        <is>
          <t>API access/quyền dữ liệu, baseline cohort, support/product reviewers</t>
        </is>
      </c>
      <c r="G10" s="29" t="inlineStr">
        <is>
          <t>Live connector integration, real AHT/FCR/CSAT study</t>
        </is>
      </c>
      <c r="H10" s="29" t="inlineStr">
        <is>
          <t>14 tuần synthetic adapters + instrumentation; KPI business NOT VALIDATED nếu thiếu pilot</t>
        </is>
      </c>
    </row>
    <row r="11" ht="35.25" customHeight="1">
      <c r="A11" s="27" t="inlineStr">
        <is>
          <t>EXT-07</t>
        </is>
      </c>
      <c r="B11" s="27" t="inlineStr">
        <is>
          <t>Multimodal parsers / call transcripts / more channels</t>
        </is>
      </c>
      <c r="C11" s="27" t="inlineStr">
        <is>
          <t>Deferred theo data need</t>
        </is>
      </c>
      <c r="D11" s="27" t="inlineStr">
        <is>
          <t>M0.1; M6.9</t>
        </is>
      </c>
      <c r="E11" s="27" t="inlineStr">
        <is>
          <t>SRC-05 L1; SRC-02 §7.1</t>
        </is>
      </c>
      <c r="F11" s="27" t="inlineStr">
        <is>
          <t>Có nguồn được phép và acceptance cho modality cụ thể; HTML/text MVP đã đạt</t>
        </is>
      </c>
      <c r="G11" s="27" t="inlineStr">
        <is>
          <t>Connector/parser schemas, permission and extraction quality report</t>
        </is>
      </c>
      <c r="H11" s="27" t="inlineStr">
        <is>
          <t>Không tự thêm kiosk ASR/TTS từ research lịch sử vào core</t>
        </is>
      </c>
    </row>
    <row r="12" ht="45.75" customHeight="1">
      <c r="A12" s="29" t="inlineStr">
        <is>
          <t>EXT-08</t>
        </is>
      </c>
      <c r="B12" s="29" t="inlineStr">
        <is>
          <t>Dedicated annotation platform / large-scale active learning</t>
        </is>
      </c>
      <c r="C12" s="29" t="inlineStr">
        <is>
          <t>Deferred sau W14</t>
        </is>
      </c>
      <c r="D12" s="29" t="inlineStr">
        <is>
          <t>M7.1–M7.2</t>
        </is>
      </c>
      <c r="E12" s="29" t="inlineStr">
        <is>
          <t>SRC-02 §10.5,7.10; SRC-07</t>
        </is>
      </c>
      <c r="F12" s="29" t="inlineStr">
        <is>
          <t>Annotation volume/multiple reviewers làm UI hiện tại thiếu; core approval/export đã ổn</t>
        </is>
      </c>
      <c r="G12" s="29" t="inlineStr">
        <is>
          <t>Argilla/alternative ADR và migration có evidence</t>
        </is>
      </c>
      <c r="H12" s="29" t="inlineStr">
        <is>
          <t>Core giữ workspace/approval/export và một retrain cycle; không bắt cài mọi tool được tham khảo</t>
        </is>
      </c>
    </row>
  </sheetData>
  <autoFilter ref="A4:H12"/>
  <mergeCells count="2">
    <mergeCell ref="A1:H1"/>
    <mergeCell ref="A2:H2"/>
  </mergeCells>
  <hyperlinks>
    <hyperlink ref="A3" location="'Cover Page'!A1" display="← Cover Page"/>
  </hyperlinks>
  <pageMargins left="0.7" right="0.7" top="0.75" bottom="0.75" header="0.3" footer="0.3"/>
  <pageSetup orientation="landscape" paperSize="8" fitToHeight="0"/>
  <headerFooter>
    <oddHeader/>
    <oddFooter>&amp;CSenticRAG | Kế hoạch triển khai | &amp;P /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FF087E8B"/>
    <outlinePr summaryBelow="1" summaryRight="1"/>
    <pageSetUpPr fitToPage="1"/>
  </sheetPr>
  <dimension ref="A1:H30"/>
  <sheetViews>
    <sheetView showGridLines="0" zoomScale="85" zoomScaleNormal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.7109375" customWidth="1" min="1" max="1"/>
    <col width="40.7109375" customWidth="1" min="2" max="2"/>
    <col width="85.7109375" customWidth="1" min="3" max="3"/>
    <col width="95.7109375" customWidth="1" min="4" max="4"/>
    <col width="65.7109375" customWidth="1" min="5" max="5"/>
    <col width="100.7109375" customWidth="1" min="6" max="6"/>
    <col width="70.7109375" customWidth="1" min="7" max="7"/>
    <col width="18.7109375" customWidth="1" min="8" max="8"/>
  </cols>
  <sheetData>
    <row r="1" ht="36" customHeight="1">
      <c r="A1" s="7" t="inlineStr">
        <is>
          <t>SOURCE REGISTER | tài liệu và bằng chứng đọc repo</t>
        </is>
      </c>
    </row>
    <row r="2" ht="36" customHeight="1">
      <c r="A2" s="8" t="inlineStr">
        <is>
          <t>Audit 23/10/2026: current working tree eb194ff; SRC-02/SRC-05 hash hiện tại; SRC-06/10..13 chỉ có tại git 9083135 và đã xác minh hash lịch sử. Không xác nhận raw data đã duyệt.</t>
        </is>
      </c>
    </row>
    <row r="3">
      <c r="A3" s="9" t="inlineStr">
        <is>
          <t>← Cover Page</t>
        </is>
      </c>
    </row>
    <row r="4" ht="33.75" customHeight="1">
      <c r="A4" s="26" t="inlineStr">
        <is>
          <t>Source ID</t>
        </is>
      </c>
      <c r="B4" s="26" t="inlineStr">
        <is>
          <t>Tên</t>
        </is>
      </c>
      <c r="C4" s="26" t="inlineStr">
        <is>
          <t>Đường dẫn / URL</t>
        </is>
      </c>
      <c r="D4" s="26" t="inlineStr">
        <is>
          <t>Mục đã đối chiếu</t>
        </is>
      </c>
      <c r="E4" s="26" t="inlineStr">
        <is>
          <t>Bao phủ bởi</t>
        </is>
      </c>
      <c r="F4" s="26" t="inlineStr">
        <is>
          <t>Lưu ý</t>
        </is>
      </c>
      <c r="G4" s="26" t="inlineStr">
        <is>
          <t>SHA-256</t>
        </is>
      </c>
      <c r="H4" s="26" t="inlineStr">
        <is>
          <t>Ngày đọc</t>
        </is>
      </c>
    </row>
    <row r="5" ht="45.75" customHeight="1">
      <c r="A5" s="27" t="inlineStr">
        <is>
          <t>SRC-01</t>
        </is>
      </c>
      <c r="B5" s="27" t="inlineStr">
        <is>
          <t>README và repo layout</t>
        </is>
      </c>
      <c r="C5" s="37" t="inlineStr">
        <is>
          <t>README.md</t>
        </is>
      </c>
      <c r="D5" s="27" t="inlineStr">
        <is>
          <t>Executive summary; architecture; API layout; setup</t>
        </is>
      </c>
      <c r="E5" s="27" t="inlineStr">
        <is>
          <t>M0.1; M0.3; M8.8</t>
        </is>
      </c>
      <c r="F5" s="27" t="inlineStr">
        <is>
          <t>Current project overview; claims production phải kiểm code/evidence.</t>
        </is>
      </c>
      <c r="G5" s="27" t="inlineStr">
        <is>
          <t>94c473b9505e215958665d8f290c2df0fe9f94735d8032ed1a9a0817e7dc5db0</t>
        </is>
      </c>
      <c r="H5" s="27" t="inlineStr">
        <is>
          <t>2026-10-23</t>
        </is>
      </c>
    </row>
    <row r="6" ht="62.25" customHeight="1">
      <c r="A6" s="29" t="inlineStr">
        <is>
          <t>SRC-02</t>
        </is>
      </c>
      <c r="B6" s="29" t="inlineStr">
        <is>
          <t>Final project tiếng Việt</t>
        </is>
      </c>
      <c r="C6" s="38" t="inlineStr">
        <is>
          <t>docs/architecture/Final_project_rewritten.md</t>
        </is>
      </c>
      <c r="D6" s="29" t="inlineStr">
        <is>
          <t>§0–4 product/personas; §5–9 architecture/modules/data/API; §10 research; §11–12 changes/layout; §13–17 eval/governance/ops; §18–24 roadmap/scenario/risks/DoD/narrative/sources</t>
        </is>
      </c>
      <c r="E6" s="29" t="inlineStr">
        <is>
          <t>M0–M8; all acceptance IDs; Extensions</t>
        </is>
      </c>
      <c r="F6" s="29" t="inlineStr">
        <is>
          <t>Nguồn bao quát nhất; old referenced Bai_Toan_Dat_Ra/Final_project(3) không tìm thấy trong repo hiện tại. Audit lại working tree eb194ff ngày 23/10/2026; hash này thay snapshot nguồn cũ.</t>
        </is>
      </c>
      <c r="G6" s="29" t="inlineStr">
        <is>
          <t>84faba76c4a1d3b543b389646525782b199c559bfa9c9556c5c5ed3ceb00d7e6</t>
        </is>
      </c>
      <c r="H6" s="29" t="inlineStr">
        <is>
          <t>2026-10-23</t>
        </is>
      </c>
    </row>
    <row r="7" ht="45.75" customHeight="1">
      <c r="A7" s="27" t="inlineStr">
        <is>
          <t>SRC-03</t>
        </is>
      </c>
      <c r="B7" s="27" t="inlineStr">
        <is>
          <t>Product user stories</t>
        </is>
      </c>
      <c r="C7" s="37" t="inlineStr">
        <is>
          <t>docs/product/user-stories.md</t>
        </is>
      </c>
      <c r="D7" s="27" t="inlineStr">
        <is>
          <t>US-BUY-01, US-AGENT-01, US-ANALYST-01, US-PM-01</t>
        </is>
      </c>
      <c r="E7" s="27" t="inlineStr">
        <is>
          <t>M2–M8</t>
        </is>
      </c>
      <c r="F7" s="27" t="inlineStr">
        <is>
          <t>Outcome numbers là targets; FRT khác acceptance cần DEC-03.</t>
        </is>
      </c>
      <c r="G7" s="27" t="inlineStr">
        <is>
          <t>057018fb888aae7036e89e13a7df74e4cc1238599c4223ded63b778429329161</t>
        </is>
      </c>
      <c r="H7" s="27" t="inlineStr">
        <is>
          <t>2026-10-23</t>
        </is>
      </c>
    </row>
    <row r="8" ht="45.75" customHeight="1">
      <c r="A8" s="29" t="inlineStr">
        <is>
          <t>SRC-04</t>
        </is>
      </c>
      <c r="B8" s="29" t="inlineStr">
        <is>
          <t>Product acceptance</t>
        </is>
      </c>
      <c r="C8" s="38" t="inlineStr">
        <is>
          <t>docs/product/acceptance-criteria.md</t>
        </is>
      </c>
      <c r="D8" s="29" t="inlineStr">
        <is>
          <t>Buyer/Agent/Analyst/PM readiness</t>
        </is>
      </c>
      <c r="E8" s="29" t="inlineStr">
        <is>
          <t>G2–G8; Q-02..18</t>
        </is>
      </c>
      <c r="F8" s="29" t="inlineStr">
        <is>
          <t>Tiêu chí dùng nghiệm thu, không là số đo repo.</t>
        </is>
      </c>
      <c r="G8" s="29" t="inlineStr">
        <is>
          <t>f0fc522e55e5ea4791fef0a6a77c2e27dca8a00c71481674b2203749c893c4c6</t>
        </is>
      </c>
      <c r="H8" s="29" t="inlineStr">
        <is>
          <t>2026-10-23</t>
        </is>
      </c>
    </row>
    <row r="9" ht="45.75" customHeight="1">
      <c r="A9" s="27" t="inlineStr">
        <is>
          <t>SRC-05</t>
        </is>
      </c>
      <c r="B9" s="27" t="inlineStr">
        <is>
          <t>Architecture blueprint</t>
        </is>
      </c>
      <c r="C9" s="37" t="inlineStr">
        <is>
          <t>docs/architecture/ARCHITECTURE.md</t>
        </is>
      </c>
      <c r="D9" s="27" t="inlineStr">
        <is>
          <t>§0–4 purpose/story/traceability; §5 7-layer/memory/2 pipelines; §6–10 modules/security/APIs/metrics/roadmap</t>
        </is>
      </c>
      <c r="E9" s="27" t="inlineStr">
        <is>
          <t>ARCH-L1..L7; M0–M8</t>
        </is>
      </c>
      <c r="F9" s="27" t="inlineStr">
        <is>
          <t>Có US-STEWARD-01 và production targets; chatbot-first đổi thứ tự, giữ coverage. Audit lại working tree eb194ff ngày 23/10/2026; hash này thay snapshot nguồn cũ.</t>
        </is>
      </c>
      <c r="G9" s="27" t="inlineStr">
        <is>
          <t>75b65a38662381526009dd0184d65ce76816aa7b74382b2524c391b09c4ad895</t>
        </is>
      </c>
      <c r="H9" s="27" t="inlineStr">
        <is>
          <t>2026-10-23</t>
        </is>
      </c>
    </row>
    <row r="10" ht="107.16" customHeight="1">
      <c r="A10" s="29" t="inlineStr">
        <is>
          <t>SRC-06</t>
        </is>
      </c>
      <c r="B10" s="29" t="inlineStr">
        <is>
          <t>Production data specification</t>
        </is>
      </c>
      <c r="C10" s="38" t="inlineStr">
        <is>
          <t>git:9083135:docs/reports/production-data-specification.md</t>
        </is>
      </c>
      <c r="D10" s="29" t="inlineStr">
        <is>
          <t>§1 storage; §2 PII/router; §3 ABSA; §4 retrieval; §5 graph/policy/CRM; §6 resolution; §7 feedback; §8 data checklist</t>
        </is>
      </c>
      <c r="E10" s="29" t="inlineStr">
        <is>
          <t>Data Plan; IO-03..15; M1/M3/M4/M6/M7</t>
        </is>
      </c>
      <c r="F10" s="29" t="inlineStr">
        <is>
          <t>HISTORICAL ONLY: không có trong checkout eb194ff; git show 9083135:docs/reports/production-data-specification.md có blob khớp SHA-256. Counts/splits/model/quota minh họa cần verify, không copy làm kết quả/thông số runtime đã đo.</t>
        </is>
      </c>
      <c r="G10" s="29" t="inlineStr">
        <is>
          <t>4886f98db3916b7131914bbfe5fa771491276d4a59ad9ac62d760d43435e7939</t>
        </is>
      </c>
      <c r="H10" s="29" t="inlineStr">
        <is>
          <t>2026-10-23</t>
        </is>
      </c>
    </row>
    <row r="11" ht="45.75" customHeight="1">
      <c r="A11" s="27" t="inlineStr">
        <is>
          <t>SRC-07</t>
        </is>
      </c>
      <c r="B11" s="27" t="inlineStr">
        <is>
          <t>Deep research report</t>
        </is>
      </c>
      <c r="C11" s="37" t="inlineStr">
        <is>
          <t>docs/reports/deep-research-report.md</t>
        </is>
      </c>
      <c r="D11" s="27" t="inlineStr">
        <is>
          <t>ABSA/Retrieval AC; baseline-first; NFR/governance; doc template/roadmap</t>
        </is>
      </c>
      <c r="E11" s="27" t="inlineStr">
        <is>
          <t>ABSA-AC-01..10; RET-AC-01..12; M0/M4/M8</t>
        </is>
      </c>
      <c r="F11" s="27" t="inlineStr">
        <is>
          <t>Historical context; kiosk/old API/missing docs không override current product. Numerical thresholds marked assumptions.</t>
        </is>
      </c>
      <c r="G11" s="27" t="inlineStr">
        <is>
          <t>8bf62561a43de6b1ccc2be5890eced7902269847d95f54986afa916ee2f27d69</t>
        </is>
      </c>
      <c r="H11" s="27" t="inlineStr">
        <is>
          <t>2026-10-23</t>
        </is>
      </c>
    </row>
    <row r="12" ht="45.75" customHeight="1">
      <c r="A12" s="29" t="inlineStr">
        <is>
          <t>SRC-08</t>
        </is>
      </c>
      <c r="B12" s="29" t="inlineStr">
        <is>
          <t>Ontology schema</t>
        </is>
      </c>
      <c r="C12" s="38" t="inlineStr">
        <is>
          <t>docs/ontology/ontology-schema.md</t>
        </is>
      </c>
      <c r="D12" s="29" t="inlineStr">
        <is>
          <t>Nodes, edges, traversal pattern</t>
        </is>
      </c>
      <c r="E12" s="29" t="inlineStr">
        <is>
          <t>M6.1–M6.3; DEC-06</t>
        </is>
      </c>
      <c r="F12" s="29" t="inlineStr">
        <is>
          <t>Schema rút gọn phải reconcile với Issue/Firmware/Evidence/Team trong blueprint.</t>
        </is>
      </c>
      <c r="G12" s="29" t="inlineStr">
        <is>
          <t>c6dce4ba42396a6b4c951d87ef266c266ebe26521c23401dde4ff49982dd4cf5</t>
        </is>
      </c>
      <c r="H12" s="29" t="inlineStr">
        <is>
          <t>2026-10-23</t>
        </is>
      </c>
    </row>
    <row r="13" ht="45.75" customHeight="1">
      <c r="A13" s="27" t="inlineStr">
        <is>
          <t>SRC-09</t>
        </is>
      </c>
      <c r="B13" s="27" t="inlineStr">
        <is>
          <t>Capability map</t>
        </is>
      </c>
      <c r="C13" s="37" t="inlineStr">
        <is>
          <t>docs/product/capability-map.md</t>
        </is>
      </c>
      <c r="D13" s="27" t="inlineStr">
        <is>
          <t>Quantitative/qualitative/actionable/learning; module invariants</t>
        </is>
      </c>
      <c r="E13" s="27" t="inlineStr">
        <is>
          <t>Module Catalog; ARCH-BOUNDARY</t>
        </is>
      </c>
      <c r="F13" s="27" t="inlineStr">
        <is>
          <t>Giữ ranh giới ABSA/retrieval/graph/policy.</t>
        </is>
      </c>
      <c r="G13" s="27" t="inlineStr">
        <is>
          <t>0ca2bdb555a2c48f3aae7e3ed037b79d77c50513293c711e89910283be44df47</t>
        </is>
      </c>
      <c r="H13" s="27" t="inlineStr">
        <is>
          <t>2026-10-23</t>
        </is>
      </c>
    </row>
    <row r="14" ht="45.75" customHeight="1">
      <c r="A14" s="29" t="inlineStr">
        <is>
          <t>SRC-10</t>
        </is>
      </c>
      <c r="B14" s="29" t="inlineStr">
        <is>
          <t>Crawler README</t>
        </is>
      </c>
      <c r="C14" s="38" t="inlineStr">
        <is>
          <t>git:9083135:Data_crawling/README.md</t>
        </is>
      </c>
      <c r="D14" s="29" t="inlineStr">
        <is>
          <t>Discovery/scrape exports; raw captures; isolation</t>
        </is>
      </c>
      <c r="E14" s="29" t="inlineStr">
        <is>
          <t>M1.1–M1.2</t>
        </is>
      </c>
      <c r="F14" s="29" t="inlineStr">
        <is>
          <t>HISTORICAL ONLY: không có trong checkout eb194ff; git show 9083135:Data_crawling/README.md có blob khớp SHA-256. Chỉ raw data; navigation/footer chưa clean; adapter file boundary.</t>
        </is>
      </c>
      <c r="G14" s="29" t="inlineStr">
        <is>
          <t>b11ced8a57f68b7ca6ef5ef24ac5b6fad4202ae88265ac4351fdeedc62dc8b84</t>
        </is>
      </c>
      <c r="H14" s="29" t="inlineStr">
        <is>
          <t>2026-10-23</t>
        </is>
      </c>
    </row>
    <row r="15" ht="45.75" customHeight="1">
      <c r="A15" s="27" t="inlineStr">
        <is>
          <t>SRC-11</t>
        </is>
      </c>
      <c r="B15" s="27" t="inlineStr">
        <is>
          <t>Crawler design</t>
        </is>
      </c>
      <c r="C15" s="37" t="inlineStr">
        <is>
          <t>git:9083135:Data_crawling/docs/design.md</t>
        </is>
      </c>
      <c r="D15" s="27" t="inlineStr">
        <is>
          <t>Scope, URL handling, workflow, limits</t>
        </is>
      </c>
      <c r="E15" s="27" t="inlineStr">
        <is>
          <t>M1.1; DATA-01</t>
        </is>
      </c>
      <c r="F15" s="27" t="inlineStr">
        <is>
          <t>HISTORICAL ONLY: không có trong checkout eb194ff; git show 9083135:Data_crawling/docs/design.md có blob khớp SHA-256. Không mở scope crawler trong plan này.</t>
        </is>
      </c>
      <c r="G15" s="27" t="inlineStr">
        <is>
          <t>a5f11f936c9115ccc4c4526d5c016d738a74abba759a9f25f56faa26dee113ed</t>
        </is>
      </c>
      <c r="H15" s="27" t="inlineStr">
        <is>
          <t>2026-10-23</t>
        </is>
      </c>
    </row>
    <row r="16" ht="45.75" customHeight="1">
      <c r="A16" s="29" t="inlineStr">
        <is>
          <t>SRC-12</t>
        </is>
      </c>
      <c r="B16" s="29" t="inlineStr">
        <is>
          <t>Crawler implementation plan</t>
        </is>
      </c>
      <c r="C16" s="38" t="inlineStr">
        <is>
          <t>git:9083135:Data_crawling/docs/implementation-plan.md</t>
        </is>
      </c>
      <c r="D16" s="29" t="inlineStr">
        <is>
          <t>Standalone boundaries; implementation/verification history</t>
        </is>
      </c>
      <c r="E16" s="29" t="inlineStr">
        <is>
          <t>M0.1; M1.1</t>
        </is>
      </c>
      <c r="F16" s="29" t="inlineStr">
        <is>
          <t>HISTORICAL ONLY: không có trong checkout eb194ff; git show 9083135:Data_crawling/docs/implementation-plan.md có blob khớp SHA-256. Historical completed crawl work; không gán Done cho new ingestion pipeline.</t>
        </is>
      </c>
      <c r="G16" s="29" t="inlineStr">
        <is>
          <t>d00775157c91cdf6536fe2bacb2cbcc4f2ddba4d3ee7517f5fa7640ed48c2f71</t>
        </is>
      </c>
      <c r="H16" s="29" t="inlineStr">
        <is>
          <t>2026-10-23</t>
        </is>
      </c>
    </row>
    <row r="17" ht="45.75" customHeight="1">
      <c r="A17" s="27" t="inlineStr">
        <is>
          <t>SRC-13</t>
        </is>
      </c>
      <c r="B17" s="27" t="inlineStr">
        <is>
          <t>Crawler verification</t>
        </is>
      </c>
      <c r="C17" s="37" t="inlineStr">
        <is>
          <t>git:9083135:Data_crawling/docs/verification.md</t>
        </is>
      </c>
      <c r="D17" s="27" t="inlineStr">
        <is>
          <t>26/34 tests; 56 attempted/52 success/4 fail historical batch</t>
        </is>
      </c>
      <c r="E17" s="27" t="inlineStr">
        <is>
          <t>M0.1; M1.1; DATA-01</t>
        </is>
      </c>
      <c r="F17" s="27" t="inlineStr">
        <is>
          <t>HISTORICAL ONLY: không có trong checkout eb194ff; git show 9083135:Data_crawling/docs/verification.md có blob khớp SHA-256. Evidence lịch sử 19–20/10/2026, không phải rerun của lượt lập kế hoạch này.</t>
        </is>
      </c>
      <c r="G17" s="27" t="inlineStr">
        <is>
          <t>84ed6225b6af1b096b4a98833982b0ccb881ebdeac4f8aeefc49f704cfcf4ac2</t>
        </is>
      </c>
      <c r="H17" s="27" t="inlineStr">
        <is>
          <t>2026-10-23</t>
        </is>
      </c>
    </row>
    <row r="18" ht="45.75" customHeight="1">
      <c r="A18" s="29" t="inlineStr">
        <is>
          <t>SRC-14A</t>
        </is>
      </c>
      <c r="B18" s="29" t="inlineStr">
        <is>
          <t>Agent workspace scope</t>
        </is>
      </c>
      <c r="C18" s="38" t="inlineStr">
        <is>
          <t>apps/agent_workspace/README.md</t>
        </is>
      </c>
      <c r="D18" s="29" t="inlineStr">
        <is>
          <t>Triage/context/draft/actions/feedback</t>
        </is>
      </c>
      <c r="E18" s="29" t="inlineStr">
        <is>
          <t>M3.5; M4.7; M6.4; M7.1</t>
        </is>
      </c>
      <c r="F18" s="29" t="inlineStr">
        <is>
          <t>README target; app code còn khung.</t>
        </is>
      </c>
      <c r="G18" s="29" t="inlineStr">
        <is>
          <t>a7c0405a62d4dcc0fea137be5c8292446ef6115420d2f24e67642802d74d44a1</t>
        </is>
      </c>
      <c r="H18" s="29" t="inlineStr">
        <is>
          <t>2026-10-23</t>
        </is>
      </c>
    </row>
    <row r="19" ht="45.75" customHeight="1">
      <c r="A19" s="27" t="inlineStr">
        <is>
          <t>SRC-14B</t>
        </is>
      </c>
      <c r="B19" s="27" t="inlineStr">
        <is>
          <t>Analyst dashboard scope</t>
        </is>
      </c>
      <c r="C19" s="37" t="inlineStr">
        <is>
          <t>apps/analyst_dashboard/README.md</t>
        </is>
      </c>
      <c r="D19" s="27" t="inlineStr">
        <is>
          <t>Macro BI; drill-down; graph explorer; contribution</t>
        </is>
      </c>
      <c r="E19" s="27" t="inlineStr">
        <is>
          <t>M5; M6.5</t>
        </is>
      </c>
      <c r="F19" s="27" t="inlineStr">
        <is>
          <t>README target; app code còn khung.</t>
        </is>
      </c>
      <c r="G19" s="27" t="inlineStr">
        <is>
          <t>770515250bca7ac3e56d58e9b5c7aca61a375eb43e6b00dba24a08e88c2b1dc6</t>
        </is>
      </c>
      <c r="H19" s="27" t="inlineStr">
        <is>
          <t>2026-10-23</t>
        </is>
      </c>
    </row>
    <row r="20" ht="45.75" customHeight="1">
      <c r="A20" s="29" t="inlineStr">
        <is>
          <t>SRC-14C</t>
        </is>
      </c>
      <c r="B20" s="29" t="inlineStr">
        <is>
          <t>Worker scope</t>
        </is>
      </c>
      <c r="C20" s="38" t="inlineStr">
        <is>
          <t>apps/worker/README.md</t>
        </is>
      </c>
      <c r="D20" s="29" t="inlineStr">
        <is>
          <t>Consumers/jobs/alerts/active learning</t>
        </is>
      </c>
      <c r="E20" s="29" t="inlineStr">
        <is>
          <t>M4.5; M5.1; M7.2–M7.3</t>
        </is>
      </c>
      <c r="F20" s="29" t="inlineStr">
        <is>
          <t>Chốt queue tại DEC-08.</t>
        </is>
      </c>
      <c r="G20" s="29" t="inlineStr">
        <is>
          <t>b73cedf1ad4358bfaa55447aba52cc4dca1cff6dbf1035cabbb0babd41781bd0</t>
        </is>
      </c>
      <c r="H20" s="29" t="inlineStr">
        <is>
          <t>2026-10-23</t>
        </is>
      </c>
    </row>
    <row r="21" ht="45.75" customHeight="1">
      <c r="A21" s="27" t="inlineStr">
        <is>
          <t>SRC-15</t>
        </is>
      </c>
      <c r="B21" s="27" t="inlineStr">
        <is>
          <t>Artifact conventions</t>
        </is>
      </c>
      <c r="C21" s="37" t="inlineStr">
        <is>
          <t>artifacts/README.md</t>
        </is>
      </c>
      <c r="D21" s="27" t="inlineStr">
        <is>
          <t>Versioned S3/local artifacts; immutable manifest; no large binaries in Git</t>
        </is>
      </c>
      <c r="E21" s="27" t="inlineStr">
        <is>
          <t>M4.3; M8.1; M8.8</t>
        </is>
      </c>
      <c r="F21" s="27" t="inlineStr">
        <is>
          <t>Workbook planning không phải model checkpoint; model weights/index ngoài Git.</t>
        </is>
      </c>
      <c r="G21" s="27" t="inlineStr">
        <is>
          <t>e0269617a9c3aaf1ee558e2de93833bff937779c16bc1e0597dfd30800b0e283</t>
        </is>
      </c>
      <c r="H21" s="27" t="inlineStr">
        <is>
          <t>2026-10-23</t>
        </is>
      </c>
    </row>
    <row r="22" ht="45.75" customHeight="1">
      <c r="A22" s="29" t="inlineStr">
        <is>
          <t>SRC-16A</t>
        </is>
      </c>
      <c r="B22" s="29" t="inlineStr">
        <is>
          <t>Current API implementation</t>
        </is>
      </c>
      <c r="C22" s="38" t="inlineStr">
        <is>
          <t>apps/api/app/main.py</t>
        </is>
      </c>
      <c r="D22" s="29" t="inlineStr">
        <is>
          <t>Mock handlers; readiness static; legacy endpoints</t>
        </is>
      </c>
      <c r="E22" s="29" t="inlineStr">
        <is>
          <t>M0.1; M2.5; M3.4; M4.5; M8.3</t>
        </is>
      </c>
      <c r="F22" s="29" t="inlineStr">
        <is>
          <t>Chỉ kiểm đọc mã, không claim API đáp ứng user story.</t>
        </is>
      </c>
      <c r="G22" s="29" t="inlineStr">
        <is>
          <t>30caf59185ae264878fc4282bc8ac508c0e9b641a470e4182450423dcb536e2d</t>
        </is>
      </c>
      <c r="H22" s="29" t="inlineStr">
        <is>
          <t>2026-10-23</t>
        </is>
      </c>
    </row>
    <row r="23" ht="45.75" customHeight="1">
      <c r="A23" s="27" t="inlineStr">
        <is>
          <t>SRC-16B</t>
        </is>
      </c>
      <c r="B23" s="27" t="inlineStr">
        <is>
          <t>Current data contracts</t>
        </is>
      </c>
      <c r="C23" s="37" t="inlineStr">
        <is>
          <t>packages/data_contracts/__init__.py</t>
        </is>
      </c>
      <c r="D23" s="27" t="inlineStr">
        <is>
          <t>FeedbackRecord/AspectSentiment/Investigation/Resolution/Feedback schemas</t>
        </is>
      </c>
      <c r="E23" s="27" t="inlineStr">
        <is>
          <t>M0.3; IO Contracts</t>
        </is>
      </c>
      <c r="F23" s="27" t="inlineStr">
        <is>
          <t>Cần chat schema, policy URL/version, rich filters, typed feedback.</t>
        </is>
      </c>
      <c r="G23" s="27" t="inlineStr">
        <is>
          <t>6ac661dab8b2887abcb28f1402bdde2fb60ab18b75e5d98ab183f79eb9a5aff4</t>
        </is>
      </c>
      <c r="H23" s="27" t="inlineStr">
        <is>
          <t>2026-10-23</t>
        </is>
      </c>
    </row>
    <row r="24" ht="45.75" customHeight="1">
      <c r="A24" s="29" t="inlineStr">
        <is>
          <t>SRC-16C</t>
        </is>
      </c>
      <c r="B24" s="29" t="inlineStr">
        <is>
          <t>Dependencies</t>
        </is>
      </c>
      <c r="C24" s="38" t="inlineStr">
        <is>
          <t>pyproject.toml</t>
        </is>
      </c>
      <c r="D24" s="29" t="inlineStr">
        <is>
          <t>Python range/dependencies/test tooling</t>
        </is>
      </c>
      <c r="E24" s="29" t="inlineStr">
        <is>
          <t>M0.3; Tech Stack</t>
        </is>
      </c>
      <c r="F24" s="29" t="inlineStr">
        <is>
          <t>Chọn/pin model/library tại implementation; không claim versions mới nhất.</t>
        </is>
      </c>
      <c r="G24" s="29" t="inlineStr">
        <is>
          <t>e42fadd01cd79769d76edcc6f56359b0e8ec24b9f7d55957a445c8a6cbecf5ce</t>
        </is>
      </c>
      <c r="H24" s="29" t="inlineStr">
        <is>
          <t>2026-10-23</t>
        </is>
      </c>
    </row>
    <row r="25" ht="45.75" customHeight="1">
      <c r="A25" s="27" t="inlineStr">
        <is>
          <t>SRC-16D</t>
        </is>
      </c>
      <c r="B25" s="27" t="inlineStr">
        <is>
          <t>Compose infrastructure</t>
        </is>
      </c>
      <c r="C25" s="37" t="inlineStr">
        <is>
          <t>infra/compose/docker-compose.yml</t>
        </is>
      </c>
      <c r="D25" s="27" t="inlineStr">
        <is>
          <t>Target local services</t>
        </is>
      </c>
      <c r="E25" s="27" t="inlineStr">
        <is>
          <t>M0.4; M2.7; M8.3</t>
        </is>
      </c>
      <c r="F25" s="27" t="inlineStr">
        <is>
          <t>Cấu hình hiện hữu cần smoke/review trước dùng.</t>
        </is>
      </c>
      <c r="G25" s="27" t="inlineStr">
        <is>
          <t>5fe5fc1d70cfad10db81d39b1ac423af494d54c9c6c2927abbb4bb3d047b8e85</t>
        </is>
      </c>
      <c r="H25" s="27" t="inlineStr">
        <is>
          <t>2026-10-23</t>
        </is>
      </c>
    </row>
    <row r="26" ht="62.25" customHeight="1">
      <c r="A26" s="29" t="inlineStr">
        <is>
          <t>SRC-17</t>
        </is>
      </c>
      <c r="B26" s="29" t="inlineStr">
        <is>
          <t>Excel template supplied by user</t>
        </is>
      </c>
      <c r="C26" s="38" t="inlineStr">
        <is>
          <t>https://github.com/khuonglaptri3/qpaf-visual-document-retrieval/blob/feature/m3-6-integrity-review/docs/GUILDLINE_OVERVIEWS_PROPOSAL/POAI_Milestone_Group01_Hoan_Chinh.xlsx</t>
        </is>
      </c>
      <c r="D26" s="29" t="inlineStr">
        <is>
          <t>Cover Page; WBS; Milestones; Proposal Traceability; Notes; dates/status/deliverable/Gantt</t>
        </is>
      </c>
      <c r="E26" s="29" t="inlineStr">
        <is>
          <t>Workbook structure and traceability design</t>
        </is>
      </c>
      <c r="F26" s="29" t="inlineStr">
        <is>
          <t>Adapt 16-week/3-member research template → 14-week/1-person SenticRAG; no borrowed completion statuses.</t>
        </is>
      </c>
      <c r="G26" s="29" t="inlineStr">
        <is>
          <t>896bf26657a58f4d921c4b51b0428931a8770ccea3248201f1ce148714383bdc</t>
        </is>
      </c>
      <c r="H26" s="29" t="inlineStr">
        <is>
          <t>2026-10-23</t>
        </is>
      </c>
    </row>
    <row r="27" ht="35.25" customHeight="1">
      <c r="A27" s="27" t="inlineStr">
        <is>
          <t>WEB-01</t>
        </is>
      </c>
      <c r="B27" s="27" t="inlineStr">
        <is>
          <t>FastAPI official docs</t>
        </is>
      </c>
      <c r="C27" s="37" t="inlineStr">
        <is>
          <t>https://fastapi.tiangolo.com/</t>
        </is>
      </c>
      <c r="D27" s="27" t="inlineStr">
        <is>
          <t>API/backend reference</t>
        </is>
      </c>
      <c r="E27" s="27" t="inlineStr">
        <is>
          <t>TECH-01</t>
        </is>
      </c>
      <c r="F27" s="27" t="inlineStr">
        <is>
          <t>Checked 23/10/2026; implementation versions remain pinned by project.</t>
        </is>
      </c>
      <c r="H27" s="27" t="inlineStr">
        <is>
          <t>2026-10-23</t>
        </is>
      </c>
    </row>
    <row r="28" ht="35.25" customHeight="1">
      <c r="A28" s="29" t="inlineStr">
        <is>
          <t>WEB-02</t>
        </is>
      </c>
      <c r="B28" s="29" t="inlineStr">
        <is>
          <t>Qdrant Hybrid Queries official docs</t>
        </is>
      </c>
      <c r="C28" s="38" t="inlineStr">
        <is>
          <t>https://qdrant.tech/documentation/search/hybrid-queries/</t>
        </is>
      </c>
      <c r="D28" s="29" t="inlineStr">
        <is>
          <t>Dense/sparse fusion reference</t>
        </is>
      </c>
      <c r="E28" s="29" t="inlineStr">
        <is>
          <t>TECH-06; M2.2</t>
        </is>
      </c>
      <c r="F28" s="29" t="inlineStr">
        <is>
          <t>Referenced for design; no performance or quota claims inferred.</t>
        </is>
      </c>
      <c r="H28" s="29" t="inlineStr">
        <is>
          <t>2026-10-23</t>
        </is>
      </c>
    </row>
    <row r="29" ht="35.25" customHeight="1">
      <c r="A29" s="27" t="inlineStr">
        <is>
          <t>WEB-03</t>
        </is>
      </c>
      <c r="B29" s="27" t="inlineStr">
        <is>
          <t>Neo4j constraints official docs</t>
        </is>
      </c>
      <c r="C29" s="37" t="inlineStr">
        <is>
          <t>https://neo4j.com/docs/cypher-manual/current/schema/constraints/</t>
        </is>
      </c>
      <c r="D29" s="27" t="inlineStr">
        <is>
          <t>Graph integrity reference</t>
        </is>
      </c>
      <c r="E29" s="27" t="inlineStr">
        <is>
          <t>TECH-11; M6.2</t>
        </is>
      </c>
      <c r="F29" s="27" t="inlineStr">
        <is>
          <t>Edition/version support must be checked during implementation.</t>
        </is>
      </c>
      <c r="H29" s="27" t="inlineStr">
        <is>
          <t>2026-10-23</t>
        </is>
      </c>
    </row>
    <row r="30" ht="35.25" customHeight="1">
      <c r="A30" s="29" t="inlineStr">
        <is>
          <t>WEB-04</t>
        </is>
      </c>
      <c r="B30" s="29" t="inlineStr">
        <is>
          <t>React TypeScript official docs</t>
        </is>
      </c>
      <c r="C30" s="38" t="inlineStr">
        <is>
          <t>https://react.dev/learn/typescript</t>
        </is>
      </c>
      <c r="D30" s="29" t="inlineStr">
        <is>
          <t>Typed frontend reference</t>
        </is>
      </c>
      <c r="E30" s="29" t="inlineStr">
        <is>
          <t>TECH-02</t>
        </is>
      </c>
      <c r="F30" s="29" t="inlineStr">
        <is>
          <t>Frontend choice proposed, not existing implementation.</t>
        </is>
      </c>
      <c r="H30" s="29" t="inlineStr">
        <is>
          <t>2026-10-23</t>
        </is>
      </c>
    </row>
  </sheetData>
  <autoFilter ref="A4:H30"/>
  <mergeCells count="2">
    <mergeCell ref="A1:H1"/>
    <mergeCell ref="A2:H2"/>
  </mergeCells>
  <hyperlinks>
    <hyperlink ref="A3" location="'Cover Page'!A1" display="← Cover Page"/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29" r:id="rId25"/>
    <hyperlink xmlns:r="http://schemas.openxmlformats.org/officeDocument/2006/relationships" ref="C30" r:id="rId26"/>
  </hyperlinks>
  <pageMargins left="0.7" right="0.7" top="0.75" bottom="0.75" header="0.3" footer="0.3"/>
  <pageSetup orientation="landscape" paperSize="8" fitToHeight="0"/>
  <headerFooter>
    <oddHeader/>
    <oddFooter>&amp;CSenticRAG | Kế hoạch triển khai | &amp;P /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FF087E8B"/>
    <outlinePr summaryBelow="1" summaryRight="1"/>
    <pageSetUpPr fitToPage="1"/>
  </sheetPr>
  <dimension ref="A1:C23"/>
  <sheetViews>
    <sheetView showGridLines="0" zoomScale="85" zoomScaleNormal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.7109375" customWidth="1" min="1" max="1"/>
    <col width="38.7109375" customWidth="1" min="2" max="2"/>
    <col width="115.7109375" customWidth="1" min="3" max="3"/>
  </cols>
  <sheetData>
    <row r="1" ht="36" customHeight="1">
      <c r="A1" s="7" t="inlineStr">
        <is>
          <t>NOTES | quy tắc dùng và nghiệm thu kế hoạch</t>
        </is>
      </c>
    </row>
    <row r="2" ht="36" customHeight="1">
      <c r="A2" s="8" t="inlineStr">
        <is>
          <t>Kế hoạch lập theo yêu cầu mới nhất của người dùng, tham chiếu toàn bộ tài liệu hiện hữu; mọi kết quả triển khai vẫn cần được tạo và kiểm chứng.</t>
        </is>
      </c>
    </row>
    <row r="3">
      <c r="A3" s="9" t="inlineStr">
        <is>
          <t>← Cover Page</t>
        </is>
      </c>
    </row>
    <row r="4" ht="33.75" customHeight="1">
      <c r="A4" s="26" t="inlineStr">
        <is>
          <t>ID</t>
        </is>
      </c>
      <c r="B4" s="26" t="inlineStr">
        <is>
          <t>Chủ đề</t>
        </is>
      </c>
      <c r="C4" s="26" t="inlineStr">
        <is>
          <t>Ghi chú</t>
        </is>
      </c>
    </row>
    <row r="5" ht="45.75" customHeight="1">
      <c r="A5" s="27" t="inlineStr">
        <is>
          <t>N01</t>
        </is>
      </c>
      <c r="B5" s="27" t="inlineStr">
        <is>
          <t>Cách đọc</t>
        </is>
      </c>
      <c r="C5" s="27" t="inlineStr">
        <is>
          <t>Cover → Milestones → Milestone Details → WBS/Task Details → Module/IO → Traceability/Gates. Source Register cung cấp nguồn và hash.</t>
        </is>
      </c>
    </row>
    <row r="6" ht="45.75" customHeight="1">
      <c r="A6" s="29" t="inlineStr">
        <is>
          <t>N02</t>
        </is>
      </c>
      <c r="B6" s="29" t="inlineStr">
        <is>
          <t>Một người</t>
        </is>
      </c>
      <c r="C6" s="29" t="inlineStr">
        <is>
          <t>Tất cả task owner là Trần Đình Khương. Role chỉ là loại công việc đang làm, không phải người bổ sung. Không lấy tên nhóm QPAF sang dự án này.</t>
        </is>
      </c>
    </row>
    <row r="7" ht="45.75" customHeight="1">
      <c r="A7" s="27" t="inlineStr">
        <is>
          <t>N03</t>
        </is>
      </c>
      <c r="B7" s="27" t="inlineStr">
        <is>
          <t>Ngày và effort</t>
        </is>
      </c>
      <c r="C7" s="27" t="inlineStr">
        <is>
          <t>Start 26/10/2026, W14 hết 31/01/2027, ngày làm việc cuối 29/01. Đơn vị 0,5 ngày/4h; buổi bắt đầu AM/PM trong Task Details. WBS chỉ hiển thị ngày; xem slots/capacity để tránh hiểu task cùng ngày là chồng lịch.</t>
        </is>
      </c>
    </row>
    <row r="8" ht="45.75" customHeight="1">
      <c r="A8" s="29" t="inlineStr">
        <is>
          <t>N04</t>
        </is>
      </c>
      <c r="B8" s="29" t="inlineStr">
        <is>
          <t>Capacity và nghỉ</t>
        </is>
      </c>
      <c r="C8" s="29" t="inlineStr">
        <is>
          <t>60 ngày core/gate + 9 ngày buffer + 1 ngày nghỉ dự kiến 01/01 = 70 ngày T2–T6. Chưa tính mọi ngày nghỉ cá nhân/nghỉ lễ phát sinh. Rebaseline khi nghỉ vượt buffer; ngày trong workbook là baseline cố định.</t>
        </is>
      </c>
    </row>
    <row r="9" ht="45.75" customHeight="1">
      <c r="A9" s="27" t="inlineStr">
        <is>
          <t>N05</t>
        </is>
      </c>
      <c r="B9" s="27" t="inlineStr">
        <is>
          <t>Dependency</t>
        </is>
      </c>
      <c r="C9" s="27" t="inlineStr">
        <is>
          <t>Task core được xếp finish-to-start nối tiếp; giai đoạn sau chờ gate trước. Buffer là ngân sách lịch, không là task triển khai bắt buộc; M6.B nằm 01/01 trước gate M6 vì là ngày nghỉ.</t>
        </is>
      </c>
    </row>
    <row r="10" ht="45.75" customHeight="1">
      <c r="A10" s="29" t="inlineStr">
        <is>
          <t>N06</t>
        </is>
      </c>
      <c r="B10" s="29" t="inlineStr">
        <is>
          <t>Gates</t>
        </is>
      </c>
      <c r="C10" s="29" t="inlineStr">
        <is>
          <t>PASS có đủ evidence; FAIL cần sửa; BLOCKED thiếu prerequisite; NOT RUN chưa chạy. Mỗi gate có review report/demo/manifest. Gate report phải ghi open scope và measured metrics.</t>
        </is>
      </c>
    </row>
    <row r="11" ht="45.75" customHeight="1">
      <c r="A11" s="27" t="inlineStr">
        <is>
          <t>N07</t>
        </is>
      </c>
      <c r="B11" s="27" t="inlineStr">
        <is>
          <t>Trạng thái duy nhất</t>
        </is>
      </c>
      <c r="C11" s="27" t="inlineStr">
        <is>
          <t>Chỉnh Task Status tại WBS cột J; Milestones/Task Details lấy công thức tham chiếu. Tất cả core ban đầu Not Started; buffers Contingency; không tự nhận crawler cũ làm task mới Done.</t>
        </is>
      </c>
    </row>
    <row r="12" ht="45.75" customHeight="1">
      <c r="A12" s="29" t="inlineStr">
        <is>
          <t>N08</t>
        </is>
      </c>
      <c r="B12" s="29" t="inlineStr">
        <is>
          <t>Done</t>
        </is>
      </c>
      <c r="C12" s="29" t="inlineStr">
        <is>
          <t>Chỉ đặt Done khi đạt Definition of Done và điền Evidence thực tế tại Task Details. Nếu task implementation xong nhưng target fail thì báo rõ gate FAIL; không coi code tồn tại là story đã nghiệm thu.</t>
        </is>
      </c>
    </row>
    <row r="13" ht="45.75" customHeight="1">
      <c r="A13" s="27" t="inlineStr">
        <is>
          <t>N09</t>
        </is>
      </c>
      <c r="B13" s="27" t="inlineStr">
        <is>
          <t>Không mở rộng scope trong buffer</t>
        </is>
      </c>
      <c r="C13" s="27" t="inlineStr">
        <is>
          <t>Buffer dùng sửa lỗi/verification/nghỉ. Nếu không dùng, có thể rà soát thêm. Không tự lấp bằng global GraphRAG, Kubernetes HA hay nhiều candidate models.</t>
        </is>
      </c>
    </row>
    <row r="14" ht="45.75" customHeight="1">
      <c r="A14" s="29" t="inlineStr">
        <is>
          <t>N10</t>
        </is>
      </c>
      <c r="B14" s="29" t="inlineStr">
        <is>
          <t>Chatbot-first</t>
        </is>
      </c>
      <c r="C14" s="29" t="inlineStr">
        <is>
          <t>M0 thiết kế; M1 knowledge; M2 chatbot demo cuối W4. Không cần đợi ABSA/Neo4j. Sau M3 có order/policy decision, M4 triage, M6 confirmed issue context.</t>
        </is>
      </c>
    </row>
    <row r="15" ht="45.75" customHeight="1">
      <c r="A15" s="27" t="inlineStr">
        <is>
          <t>N11</t>
        </is>
      </c>
      <c r="B15" s="27" t="inlineStr">
        <is>
          <t>Ngưỡng không phải thành tích</t>
        </is>
      </c>
      <c r="C15" s="27" t="inlineStr">
        <is>
          <t>Targets F1/Recall/FRT/AHT/FCR trong docs chưa chứng minh repo đạt. Record sample_count, hardware, timestamps và test split. Synthetic replay không xác nhận business impact thật.</t>
        </is>
      </c>
    </row>
    <row r="16" ht="45.75" customHeight="1">
      <c r="A16" s="29" t="inlineStr">
        <is>
          <t>N12</t>
        </is>
      </c>
      <c r="B16" s="29" t="inlineStr">
        <is>
          <t>Scope levels</t>
        </is>
      </c>
      <c r="C16" s="29" t="inlineStr">
        <is>
          <t>Core = bounded demo; Conditional = cần tài nguyên/quyền/budget/reviewer; Deferred = sau 14 tuần. Dòng conditional/deferred vẫn được trace, không lặng lẽ loại khỏi tài liệu.</t>
        </is>
      </c>
    </row>
    <row r="17" ht="45.75" customHeight="1">
      <c r="A17" s="27" t="inlineStr">
        <is>
          <t>N13</t>
        </is>
      </c>
      <c r="B17" s="27" t="inlineStr">
        <is>
          <t>Cloud và production</t>
        </is>
      </c>
      <c r="C17" s="27" t="inlineStr">
        <is>
          <t>Compose demo bắt buộc. Minimal IaC package là core M8. Live EKS/prod cần prerequisite và người duyệt thật; nếu không đủ, ghi BLOCKED/NOT_RUN và để mở gate production.</t>
        </is>
      </c>
    </row>
    <row r="18" ht="45.75" customHeight="1">
      <c r="A18" s="29" t="inlineStr">
        <is>
          <t>N14</t>
        </is>
      </c>
      <c r="B18" s="29" t="inlineStr">
        <is>
          <t>Reviewer</t>
        </is>
      </c>
      <c r="C18" s="29" t="inlineStr">
        <is>
          <t>Một developer có thể test các role bằng accounts riêng. Điều đó không thay độc lập đánh giá hoặc xác nhận chính sách của doanh nghiệp. Sự chấp thuận production/live actions cần chủ thể được ủy quyền.</t>
        </is>
      </c>
    </row>
    <row r="19" ht="45.75" customHeight="1">
      <c r="A19" s="27" t="inlineStr">
        <is>
          <t>N15</t>
        </is>
      </c>
      <c r="B19" s="27" t="inlineStr">
        <is>
          <t>Data privacy</t>
        </is>
      </c>
      <c r="C19" s="27" t="inlineStr">
        <is>
          <t>Không raw customer PII trong vector/prompt/log; policy effective date unknown phải duyệt. Không biến công việc kỹ thuật thành tuyên bố tuân thủ pháp lý.</t>
        </is>
      </c>
    </row>
    <row r="20" ht="45.75" customHeight="1">
      <c r="A20" s="29" t="inlineStr">
        <is>
          <t>N16</t>
        </is>
      </c>
      <c r="B20" s="29" t="inlineStr">
        <is>
          <t>Sử dụng mẫu</t>
        </is>
      </c>
      <c r="C20" s="29" t="inlineStr">
        <is>
          <t>Giữ 5 sheet chính, task/start/end/responsibility/deliverable/status/Gantt. Thay lịch 16→14 tuần, owner nhóm→1 người; bổ sung 11 sheet cho I/O/module/gates/data/tech/decision/capacity. Không giữ dữ liệu/trạng thái nghiên cứu QPAF.</t>
        </is>
      </c>
    </row>
    <row r="21" ht="45.75" customHeight="1">
      <c r="A21" s="27" t="inlineStr">
        <is>
          <t>N17</t>
        </is>
      </c>
      <c r="B21" s="27" t="inlineStr">
        <is>
          <t>Phạm vi công việc lượt này</t>
        </is>
      </c>
      <c r="C21" s="27" t="inlineStr">
        <is>
          <t>Chỉ tạo kế hoạch XLSX/Markdown; không triển khai chatbot, train model, chạy cloud, gọi LLM production hay sửa API. Verification hiện tại kiểm tính toàn vẹn của kế hoạch/workbook.</t>
        </is>
      </c>
    </row>
    <row r="22" ht="45.75" customHeight="1">
      <c r="A22" s="29" t="inlineStr">
        <is>
          <t>N18</t>
        </is>
      </c>
      <c r="B22" s="29" t="inlineStr">
        <is>
          <t>Đồng bộ tài liệu</t>
        </is>
      </c>
      <c r="C22" s="29" t="inlineStr">
        <is>
          <t>Markdown là bản đọc tại baseline; WBS Excel là nơi theo dõi tiến độ sau bàn giao. Khi đổi scope/deadline/effort, cập nhật cả milestone details, traceability, gates và capacity; không chỉ đổi ngày trên Cover.</t>
        </is>
      </c>
    </row>
    <row r="23" ht="100" customHeight="1">
      <c r="A23" s="29" t="inlineStr">
        <is>
          <t>N19</t>
        </is>
      </c>
      <c r="B23" s="29" t="inlineStr">
        <is>
          <t>Tài nguyên và deployment</t>
        </is>
      </c>
      <c r="C23" s="29" t="inlineStr">
        <is>
          <t>Tài nguyên/chi phí: SenticRAG_Resources_and_Deployment.md. Local cho phát triển; Modal ưu tiên thử cho demo ít tải và GPU jobs; VPS/EKS theo nhu cầu và ngân sách. Đây là phương án cần smoke/khóa tại M0, không phải dịch vụ đã deploy hoặc cam kết miễn phí.</t>
        </is>
      </c>
    </row>
  </sheetData>
  <autoFilter ref="A4:C23"/>
  <mergeCells count="2">
    <mergeCell ref="A1:C1"/>
    <mergeCell ref="A2:C2"/>
  </mergeCells>
  <hyperlinks>
    <hyperlink ref="A3" location="'Cover Page'!A1" display="← Cover Page"/>
    <hyperlink xmlns:r="http://schemas.openxmlformats.org/officeDocument/2006/relationships" ref="C23" r:id="rId1"/>
  </hyperlinks>
  <pageMargins left="0.7" right="0.7" top="0.75" bottom="0.75" header="0.3" footer="0.3"/>
  <pageSetup orientation="landscape" paperSize="8" fitToHeight="0"/>
  <headerFooter>
    <oddHeader/>
    <oddFooter>&amp;CSenticRAG | Kế hoạch triển khai | &amp;P /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25" customWidth="1" min="2" max="2"/>
  </cols>
  <sheetData>
    <row r="1" ht="90" customHeight="1">
      <c r="A1" s="40" t="inlineStr">
        <is>
          <t>RÀ SOÁT CẢI TIẾN NGOÀI DATA — 23/10/2026</t>
        </is>
      </c>
      <c r="B1" s="40" t="inlineStr">
        <is>
          <t>Nội dung</t>
        </is>
      </c>
    </row>
    <row r="2" ht="90" customHeight="1">
      <c r="A2" s="41" t="inlineStr">
        <is>
          <t>Phạm vi</t>
        </is>
      </c>
      <c r="B2" s="41" t="inlineStr">
        <is>
          <t>Rà soát re.txt ngày 23/10/2026: chỉ cải tiến ngoài data. 52 file chưa được người dùng duyệt; lần sửa này không nghiệm thu dữ liệu, không đổi Data Plan/M1.</t>
        </is>
      </c>
    </row>
    <row r="3" ht="90" customHeight="1">
      <c r="A3" s="41" t="inlineStr">
        <is>
          <t>Đã có trong kế hoạch</t>
        </is>
      </c>
      <c r="B3" s="41" t="inlineStr">
        <is>
          <t>DEC-07 và IO-01/02 đã có chatbot không bắt buộc product; IO-10 có span optional và version; TECH-03 có migrations; TECH-02 có component dùng chung; TECH-09 có bounded FSM.</t>
        </is>
      </c>
    </row>
    <row r="4" ht="90" customHeight="1">
      <c r="A4" s="41" t="inlineStr">
        <is>
          <t>Cụ thể hóa</t>
        </is>
      </c>
      <c r="B4" s="41" t="inlineStr">
        <is>
          <t>M0.3/0.4 khóa stack PostgreSQL, contracts và kiểm chứng; IO-02 quy định citation theo nguồn và kiểm claim; IO-10 đặt model/taxonomy version ở prediction. IO-08 dùng cùng Citation canonical với IO-02; không tạo schema citation khác cho resolution.</t>
        </is>
      </c>
    </row>
    <row r="5" ht="90" customHeight="1">
      <c r="A5" s="41" t="inlineStr">
        <is>
          <t>UI theo giai đoạn</t>
        </is>
      </c>
      <c r="B5" s="41" t="inlineStr">
        <is>
          <t>M0 shell/routing/session; M2 Buyer Chat; M3 Agent Copilot; M5 Analytics cho Analyst/PM; M6 graph viewer và Steward Queue; M7 bổ sung annotation/active-learning queue trong Steward. Các UI task mở rộng apps/web, dùng chung citation viewer/API client, không dựng app mới.</t>
        </is>
      </c>
    </row>
    <row r="6" ht="90" customHeight="1">
      <c r="A6" s="41" t="inlineStr">
        <is>
          <t>LangGraph</t>
        </is>
      </c>
      <c r="B6" s="41" t="inlineStr">
        <is>
          <t>Không phải dependency bắt buộc. Chỉ chọn trong ADR M0 nếu lợi ích resume/persistence đủ rõ trong timebox hiện có; nếu chọn thay FSM runtime và cập nhật TECH-09, MOD-06, M3.4, lockfile; không chạy hai runtime. Dù chọn gì, M3 phải có durable approval/resume và chống lặp action.</t>
        </is>
      </c>
    </row>
    <row r="7" ht="90" customHeight="1">
      <c r="A7" s="41" t="inlineStr">
        <is>
          <t>Nghiệm thu liên quan</t>
        </is>
      </c>
      <c r="B7" s="41" t="inlineStr">
        <is>
          <t>G0: ADR/contract/migration smoke; G2: Q&amp;A không product + citation resolver; G3: restart/approval/resume/idempotency; G4: ABSA versions/span; G5/G6/G7: route/API role checks cho các khu vực được mở; G8: đủ năm persona flows trên một app. Các trạng thái vẫn NOT RUN/Not Started.</t>
        </is>
      </c>
    </row>
    <row r="8" ht="90" customHeight="1">
      <c r="A8" s="41" t="inlineStr">
        <is>
          <t>Effort và lịch</t>
        </is>
      </c>
      <c r="B8" s="41" t="inlineStr">
        <is>
          <t>Giữ lịch 14 tuần và 60 ngày core/gate; UI hợp nhất thay cách triển khai trong task cũ. FSM persistence làm rõ yêu cầu approval hiện có. Không thêm LangGraph spike ngoài timebox M0; nếu vượt effort cần dùng dự phòng có ghi nhận hoặc rebaseline, không giả định giảm 70% công sức.</t>
        </is>
      </c>
    </row>
    <row r="9" ht="90" customHeight="1">
      <c r="A9" s="41" t="inlineStr">
        <is>
          <t>Tài liệu kỹ thuật</t>
        </is>
      </c>
      <c r="B9" s="41" t="inlineStr">
        <is>
          <t>SQLAlchemy PostgreSQL: https://docs.sqlalchemy.org/en/20/dialects/postgresql.html ; Alembic: https://alembic.sqlalchemy.org/en/latest/tutorial.html ; LangGraph interrupt: https://reference.langchain.com/python/langgraph/types/interrupt</t>
        </is>
      </c>
    </row>
    <row r="10" ht="90" customHeight="1">
      <c r="A10" s="41" t="inlineStr">
        <is>
          <t>Trạng thái</t>
        </is>
      </c>
      <c r="B10" s="41" t="inlineStr">
        <is>
          <t>Đây là cập nhật kế hoạch, chưa cài dependency, tạo UI hay triển khai schema. Không đánh dấu task/gate hoàn thành từ việc chỉnh tài liệu.</t>
        </is>
      </c>
    </row>
    <row r="11" ht="90" customHeight="1">
      <c r="A11" s="41" t="inlineStr">
        <is>
          <t>Audit kiến trúc tiếp theo</t>
        </is>
      </c>
      <c r="B11" s="41" t="inlineStr">
        <is>
          <t>DEC-18..21 và sheet Architecture Audit bổ sung gateway M2, MCP, outbox, versioned publication, acceptance profiles và source provenance. Xem docs/reports/planning-architecture-audit-2026-10-23.md.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5" customWidth="1" min="3" max="3"/>
    <col width="65" customWidth="1" min="4" max="4"/>
    <col width="90" customWidth="1" min="5" max="5"/>
  </cols>
  <sheetData>
    <row r="1" ht="70" customHeight="1">
      <c r="A1" s="40" t="inlineStr">
        <is>
          <t>ID</t>
        </is>
      </c>
      <c r="B1" s="40" t="inlineStr">
        <is>
          <t>Nguồn</t>
        </is>
      </c>
      <c r="C1" s="40" t="inlineStr">
        <is>
          <t>Mapping</t>
        </is>
      </c>
      <c r="D1" s="40" t="inlineStr">
        <is>
          <t>Kết luận kế hoạch</t>
        </is>
      </c>
      <c r="E1" s="40" t="inlineStr">
        <is>
          <t>Evidence cần có</t>
        </is>
      </c>
    </row>
    <row r="2" ht="70" customHeight="1">
      <c r="A2" s="41" t="inlineStr">
        <is>
          <t>ARCH-01</t>
        </is>
      </c>
      <c r="B2" s="41" t="inlineStr">
        <is>
          <t>§1,5.2: hai pipelines</t>
        </is>
      </c>
      <c r="C2" s="41" t="inlineStr">
        <is>
          <t>M4.5/M5.1 và M2/M3/M6</t>
        </is>
      </c>
      <c r="D2" s="41" t="inlineStr">
        <is>
          <t>Đúng; bổ sung outbox/replay</t>
        </is>
      </c>
      <c r="E2" s="41" t="inlineStr">
        <is>
          <t>G4/G5: accounting, inference coverage và delivery fault tests</t>
        </is>
      </c>
    </row>
    <row r="3" ht="70" customHeight="1">
      <c r="A3" s="41" t="inlineStr">
        <is>
          <t>ARCH-02</t>
        </is>
      </c>
      <c r="B3" s="41" t="inlineStr">
        <is>
          <t>§5.3,6.1: input/gateway</t>
        </is>
      </c>
      <c r="C3" s="41" t="inlineStr">
        <is>
          <t>M1.3/M2.4/M2.5/M4.6</t>
        </is>
      </c>
      <c r="D3" s="41" t="inlineStr">
        <is>
          <t>Sửa rate limit sớm M2</t>
        </is>
      </c>
      <c r="E3" s="41" t="inlineStr">
        <is>
          <t>G2: quota/429/Redis failure/PII; G4 router regression</t>
        </is>
      </c>
    </row>
    <row r="4" ht="70" customHeight="1">
      <c r="A4" s="41" t="inlineStr">
        <is>
          <t>ARCH-03</t>
        </is>
      </c>
      <c r="B4" s="41" t="inlineStr">
        <is>
          <t>§5.3,6.5: planning/FSM</t>
        </is>
      </c>
      <c r="C4" s="41" t="inlineStr">
        <is>
          <t>M3.4/M4.7</t>
        </is>
      </c>
      <c r="D4" s="41" t="inlineStr">
        <is>
          <t>Làm rõ typed plan và Triaged</t>
        </is>
      </c>
      <c r="E4" s="41" t="inlineStr">
        <is>
          <t>G3: plan/tool/guardrail trace; G4: ABSA triage</t>
        </is>
      </c>
    </row>
    <row r="5" ht="70" customHeight="1">
      <c r="A5" s="41" t="inlineStr">
        <is>
          <t>ARCH-04</t>
        </is>
      </c>
      <c r="B5" s="41" t="inlineStr">
        <is>
          <t>§5.4: memory</t>
        </is>
      </c>
      <c r="C5" s="41" t="inlineStr">
        <is>
          <t>M2.5/M3.2/M3.3/M6.3</t>
        </is>
      </c>
      <c r="D5" s="41" t="inlineStr">
        <is>
          <t>Đúng; cụ thể recall/playbook</t>
        </is>
      </c>
      <c r="E5" s="41" t="inlineStr">
        <is>
          <t>Ownership/history/context limits và versioned rules</t>
        </is>
      </c>
    </row>
    <row r="6" ht="70" customHeight="1">
      <c r="A6" s="41" t="inlineStr">
        <is>
          <t>ARCH-05</t>
        </is>
      </c>
      <c r="B6" s="41" t="inlineStr">
        <is>
          <t>§6.3: hybrid/BGE</t>
        </is>
      </c>
      <c r="C6" s="41" t="inlineStr">
        <is>
          <t>M2.1–M2.3/M5.3</t>
        </is>
      </c>
      <c r="D6" s="41" t="inlineStr">
        <is>
          <t>BGE enable có điều kiện khác topology chuẩn</t>
        </is>
      </c>
      <c r="E6" s="41" t="inlineStr">
        <is>
          <t>Benchmark bật/tắt; tắt ghi deviation, không full topology PASS</t>
        </is>
      </c>
    </row>
    <row r="7" ht="70" customHeight="1">
      <c r="A7" s="41" t="inlineStr">
        <is>
          <t>ARCH-06</t>
        </is>
      </c>
      <c r="B7" s="41" t="inlineStr">
        <is>
          <t>§6.4 + SRC-02 §7.6: ontology</t>
        </is>
      </c>
      <c r="C7" s="41" t="inlineStr">
        <is>
          <t>M6.1–M6.8</t>
        </is>
      </c>
      <c r="D7" s="41" t="inlineStr">
        <is>
          <t>Issue-centered mở rộng hợp lý; lifecycle có ADR</t>
        </is>
      </c>
      <c r="E7" s="41" t="inlineStr">
        <is>
          <t>Không coi cycle hợp lệ là lỗi; approved/confirmed evidence và version pin</t>
        </is>
      </c>
    </row>
    <row r="8" ht="70" customHeight="1">
      <c r="A8" s="41" t="inlineStr">
        <is>
          <t>ARCH-07</t>
        </is>
      </c>
      <c r="B8" s="41" t="inlineStr">
        <is>
          <t>§6.5: MCP</t>
        </is>
      </c>
      <c r="C8" s="41" t="inlineStr">
        <is>
          <t>M3.4/M3.8</t>
        </is>
      </c>
      <c r="D8" s="41" t="inlineStr">
        <is>
          <t>Bổ sung protocol-level acceptance</t>
        </is>
      </c>
      <c r="E8" s="41" t="inlineStr">
        <is>
          <t>tools/list/call ba tool, schema/denied/timeout/transport</t>
        </is>
      </c>
    </row>
    <row r="9" ht="70" customHeight="1">
      <c r="A9" s="41" t="inlineStr">
        <is>
          <t>ARCH-08</t>
        </is>
      </c>
      <c r="B9" s="41" t="inlineStr">
        <is>
          <t>§5.3,6.5: guardrails</t>
        </is>
      </c>
      <c r="C9" s="41" t="inlineStr">
        <is>
          <t>M2.4/M3.3/M3.4</t>
        </is>
      </c>
      <c r="D9" s="41" t="inlineStr">
        <is>
          <t>Tách claim/schema/policy/PII rõ</t>
        </is>
      </c>
      <c r="E9" s="41" t="inlineStr">
        <is>
          <t>JSON valid chưa chứng minh grounded; action approval/idempotency</t>
        </is>
      </c>
    </row>
    <row r="10" ht="70" customHeight="1">
      <c r="A10" s="41" t="inlineStr">
        <is>
          <t>ARCH-09</t>
        </is>
      </c>
      <c r="B10" s="41" t="inlineStr">
        <is>
          <t>§7: IAM/container</t>
        </is>
      </c>
      <c r="C10" s="41" t="inlineStr">
        <is>
          <t>M8.2/M8.3/M8.5</t>
        </is>
      </c>
      <c r="D10" s="41" t="inlineStr">
        <is>
          <t>Cụ thể permissions; live conditional</t>
        </is>
      </c>
      <c r="E10" s="41" t="inlineStr">
        <is>
          <t>Render là design evidence; IAM runtime cần cloud tests</t>
        </is>
      </c>
    </row>
    <row r="11" ht="70" customHeight="1">
      <c r="A11" s="41" t="inlineStr">
        <is>
          <t>ARCH-10</t>
        </is>
      </c>
      <c r="B11" s="41" t="inlineStr">
        <is>
          <t>§8: APIs/contracts</t>
        </is>
      </c>
      <c r="C11" s="41" t="inlineStr">
        <is>
          <t>IO-01..13; M0/M2/M3/M4/M5</t>
        </is>
      </c>
      <c r="D11" s="41" t="inlineStr">
        <is>
          <t>Giữ bốn API, mở chat tương thích</t>
        </is>
      </c>
      <c r="E11" s="41" t="inlineStr">
        <is>
          <t>UUID example sửa; auth-derived authors; typed feedback/citations</t>
        </is>
      </c>
    </row>
    <row r="12" ht="70" customHeight="1">
      <c r="A12" s="41" t="inlineStr">
        <is>
          <t>ARCH-11</t>
        </is>
      </c>
      <c r="B12" s="41" t="inlineStr">
        <is>
          <t>§9: ATE/F1/latency/KPIs</t>
        </is>
      </c>
      <c r="C12" s="41" t="inlineStr">
        <is>
          <t>Q-05/Q-08/Q-09/Q-15/Q-16</t>
        </is>
      </c>
      <c r="D12" s="41" t="inlineStr">
        <is>
          <t>Tách demo và architecture-target</t>
        </is>
      </c>
      <c r="E12" s="41" t="inlineStr">
        <is>
          <t>Không thay .85 bằng .80 hoặc Pipeline B &lt;2s bằng TTFT; pilot riêng</t>
        </is>
      </c>
    </row>
    <row r="13" ht="70" customHeight="1">
      <c r="A13" s="41" t="inlineStr">
        <is>
          <t>ARCH-12</t>
        </is>
      </c>
      <c r="B13" s="41" t="inlineStr">
        <is>
          <t>§10: roadmap</t>
        </is>
      </c>
      <c r="C13" s="41" t="inlineStr">
        <is>
          <t>M0–M8, DEC-01/02/16</t>
        </is>
      </c>
      <c r="D13" s="41" t="inlineStr">
        <is>
          <t>14 tuần/chatbot-first khác roadmap 12 tuần có chủ đích</t>
        </is>
      </c>
      <c r="E13" s="41" t="inlineStr">
        <is>
          <t>Một app vẫn đủ năm personas; lịch hợp lệ chưa chứng minh effort đủ</t>
        </is>
      </c>
    </row>
    <row r="14" ht="70" customHeight="1">
      <c r="A14" s="41" t="inlineStr">
        <is>
          <t>ARCH-13</t>
        </is>
      </c>
      <c r="B14" s="41" t="inlineStr">
        <is>
          <t>Nguồn và đồng bộ artifacts</t>
        </is>
      </c>
      <c r="C14" s="41" t="inlineStr">
        <is>
          <t>SRC-02/05/06/10..13; DEC-21</t>
        </is>
      </c>
      <c r="D14" s="41" t="inlineStr">
        <is>
          <t>Hash/refs được sửa; data giữ chưa duyệt</t>
        </is>
      </c>
      <c r="E14" s="41" t="inlineStr">
        <is>
          <t>Hash hiện tại vs historical; bảng Decisions và HTML đồng bộ</t>
        </is>
      </c>
    </row>
  </sheetData>
  <autoFilter ref="A1:E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Trần Đình Khương</dc:creator>
  <dc:title xmlns:dc="http://purl.org/dc/elements/1.1/">SenticRAG — Milestone 14 tuần</dc:title>
  <dc:description xmlns:dc="http://purl.org/dc/elements/1.1/">Bản xuất lại dùng shared strings và bảng tổng quan hiển thị ngay.</dc:description>
  <dcterms:created xmlns:dcterms="http://purl.org/dc/terms/" xmlns:xsi="http://www.w3.org/2001/XMLSchema-instance" xsi:type="dcterms:W3CDTF">2026-10-23T03:50:04Z</dcterms:created>
  <dcterms:modified xmlns:dcterms="http://purl.org/dc/terms/" xmlns:xsi="http://www.w3.org/2001/XMLSchema-instance" xsi:type="dcterms:W3CDTF">2026-10-23T03:50:04Z</dcterms:modified>
  <cp:lastModifiedBy>Trần Đình Khương</cp:lastModifiedBy>
</cp:coreProperties>
</file>